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Graficos" sheetId="2" r:id="rId6"/>
    <sheet state="hidden" name="Presupuesto" sheetId="3" r:id="rId7"/>
    <sheet state="hidden" name="Acumulado" sheetId="4" r:id="rId8"/>
  </sheets>
  <definedNames/>
  <calcPr/>
</workbook>
</file>

<file path=xl/sharedStrings.xml><?xml version="1.0" encoding="utf-8"?>
<sst xmlns="http://schemas.openxmlformats.org/spreadsheetml/2006/main" count="2528" uniqueCount="988">
  <si>
    <t xml:space="preserve">Day </t>
  </si>
  <si>
    <t>Monto</t>
  </si>
  <si>
    <t>Detalle</t>
  </si>
  <si>
    <t>Clasificacion</t>
  </si>
  <si>
    <t>Checker</t>
  </si>
  <si>
    <t>Check Class</t>
  </si>
  <si>
    <t>Check Monto</t>
  </si>
  <si>
    <t>Luz</t>
  </si>
  <si>
    <t xml:space="preserve">ChatGPT </t>
  </si>
  <si>
    <t>Otros Personales</t>
  </si>
  <si>
    <t>Internet</t>
  </si>
  <si>
    <t>DogDown Yoga App</t>
  </si>
  <si>
    <t>Youtube - Suscripción x2</t>
  </si>
  <si>
    <t>Claude Pro</t>
  </si>
  <si>
    <t>Declaraciones Renta Chile 2026 x2</t>
  </si>
  <si>
    <t>Uniqlo - Ropa Pato</t>
  </si>
  <si>
    <t>Ropa - Accesorios</t>
  </si>
  <si>
    <t>Uniqlo - Regalos</t>
  </si>
  <si>
    <t>Regalos - Eventos</t>
  </si>
  <si>
    <t xml:space="preserve">Haketama - Ramen Chermise </t>
  </si>
  <si>
    <t>Almuerzo</t>
  </si>
  <si>
    <t>Brazzos - Pudin</t>
  </si>
  <si>
    <t>Kmart - Pijamas</t>
  </si>
  <si>
    <t>Wollies</t>
  </si>
  <si>
    <t>Super</t>
  </si>
  <si>
    <t>Parking Chermise</t>
  </si>
  <si>
    <t>Estacionamiento - CarWash</t>
  </si>
  <si>
    <t xml:space="preserve">Christian Jaques - Croissant y Pan </t>
  </si>
  <si>
    <t>Desayuno</t>
  </si>
  <si>
    <t>Loose Moose Lunch</t>
  </si>
  <si>
    <t>Yochi</t>
  </si>
  <si>
    <t xml:space="preserve">Christian Jaques - Croissant </t>
  </si>
  <si>
    <t>Bettys Burgers - Martes</t>
  </si>
  <si>
    <t>Cena</t>
  </si>
  <si>
    <t xml:space="preserve">Lime - Martes </t>
  </si>
  <si>
    <t xml:space="preserve">Transporte - Scooter </t>
  </si>
  <si>
    <t xml:space="preserve">Lime - Miercoles </t>
  </si>
  <si>
    <t>Buger King - Jueves</t>
  </si>
  <si>
    <t>Lime - Jueves</t>
  </si>
  <si>
    <t>Coles - Queso Pizzas</t>
  </si>
  <si>
    <t>Lime - Viernes</t>
  </si>
  <si>
    <t>Corte Pelo</t>
  </si>
  <si>
    <t>Corte Pelo - Salud - Remedios</t>
  </si>
  <si>
    <t>Coles - Queques</t>
  </si>
  <si>
    <t>Uber Pega</t>
  </si>
  <si>
    <t xml:space="preserve">Wollies Mackay </t>
  </si>
  <si>
    <t>Reunión Abogados Fragomen</t>
  </si>
  <si>
    <t>Otros Fuera Presupuesto</t>
  </si>
  <si>
    <t>Burger King - Jueves</t>
  </si>
  <si>
    <t>Tren - GoCard - Scooter Pega</t>
  </si>
  <si>
    <t>Bencina</t>
  </si>
  <si>
    <t>Car Wash</t>
  </si>
  <si>
    <t>Wollies - Cumple Seba</t>
  </si>
  <si>
    <t>Chip and  Mix</t>
  </si>
  <si>
    <t>Aliexpress - S24 Carcaza 2</t>
  </si>
  <si>
    <t xml:space="preserve">Christian Jaques - Pan y Croissant </t>
  </si>
  <si>
    <t>Pad Thai - Cumple Seba</t>
  </si>
  <si>
    <t>Wollies - Mackay</t>
  </si>
  <si>
    <t>Lime Prime</t>
  </si>
  <si>
    <t>Linkt Peajes</t>
  </si>
  <si>
    <t>Peajes</t>
  </si>
  <si>
    <t>Maccas - Brekky Mackay</t>
  </si>
  <si>
    <t xml:space="preserve">Lime - Viernes </t>
  </si>
  <si>
    <t>ToyWorld - Camille / Lucca</t>
  </si>
  <si>
    <t xml:space="preserve">Lunch Chermise </t>
  </si>
  <si>
    <t>Drakes</t>
  </si>
  <si>
    <t>Donación Iglesia</t>
  </si>
  <si>
    <t>Maru - PR celebration</t>
  </si>
  <si>
    <t>Breadtop - Almond sticks</t>
  </si>
  <si>
    <t>Korean Market - SeaWeed</t>
  </si>
  <si>
    <t xml:space="preserve">Uber Pega </t>
  </si>
  <si>
    <t xml:space="preserve">Maccas - Brekky Mackay </t>
  </si>
  <si>
    <t>Cursor Suscription</t>
  </si>
  <si>
    <t xml:space="preserve">Carga Golinkt </t>
  </si>
  <si>
    <t xml:space="preserve">Uber eats - Almuerzo Vale </t>
  </si>
  <si>
    <t>Christian Jacques - Croissant</t>
  </si>
  <si>
    <t xml:space="preserve">Hakataya - Ramen </t>
  </si>
  <si>
    <t xml:space="preserve">Starbucks </t>
  </si>
  <si>
    <t>Coles - Pizzas</t>
  </si>
  <si>
    <t>OfficeWorks - Print</t>
  </si>
  <si>
    <t>Desayuno+</t>
  </si>
  <si>
    <t>Dia</t>
  </si>
  <si>
    <t>MTD</t>
  </si>
  <si>
    <t>Rem. Mes</t>
  </si>
  <si>
    <t xml:space="preserve">Balance Proyectado </t>
  </si>
  <si>
    <t>Comidas</t>
  </si>
  <si>
    <t>Otros Casa</t>
  </si>
  <si>
    <t>Transporte BNE</t>
  </si>
  <si>
    <t>Auto</t>
  </si>
  <si>
    <t>Gastos Pega</t>
  </si>
  <si>
    <t>Total % Acum.</t>
  </si>
  <si>
    <t>Item</t>
  </si>
  <si>
    <t>Mecanico</t>
  </si>
  <si>
    <t>REGO</t>
  </si>
  <si>
    <t>Viajes</t>
  </si>
  <si>
    <t>Obs:</t>
  </si>
  <si>
    <t>Total Mensual</t>
  </si>
  <si>
    <t xml:space="preserve"> Caja Presupuesto</t>
  </si>
  <si>
    <t>%</t>
  </si>
  <si>
    <t>Balance Caja</t>
  </si>
  <si>
    <t>Sin Gasto Unico</t>
  </si>
  <si>
    <t>Ingreso Extra</t>
  </si>
  <si>
    <t>Enero</t>
  </si>
  <si>
    <t>Febrero</t>
  </si>
  <si>
    <t>Viaje Coolangatta (340) / Reparacion Auto (6943)</t>
  </si>
  <si>
    <t xml:space="preserve">Bono Glencore </t>
  </si>
  <si>
    <t>Marzo</t>
  </si>
  <si>
    <t>REGO Mazda 6 months</t>
  </si>
  <si>
    <t>Abril</t>
  </si>
  <si>
    <t>Luz 3 Meses / Celular S24 Pato (723) / BVB (743)</t>
  </si>
  <si>
    <t>Mayo</t>
  </si>
  <si>
    <t>Fragomen Reu (660)</t>
  </si>
  <si>
    <t>Junio</t>
  </si>
  <si>
    <t>Julio</t>
  </si>
  <si>
    <t>Agosto</t>
  </si>
  <si>
    <t>Septiembre</t>
  </si>
  <si>
    <t>Octubre</t>
  </si>
  <si>
    <t>Noviembre</t>
  </si>
  <si>
    <t>Diciembre</t>
  </si>
  <si>
    <t>Gasto Año</t>
  </si>
  <si>
    <t>Presupuesto</t>
  </si>
  <si>
    <t>Diferencia</t>
  </si>
  <si>
    <t>Diff x Mes</t>
  </si>
  <si>
    <t>Balance vs Budget</t>
  </si>
  <si>
    <t>vs BP sin extras</t>
  </si>
  <si>
    <t>Anual</t>
  </si>
  <si>
    <t>Mensual</t>
  </si>
  <si>
    <t>Motivo</t>
  </si>
  <si>
    <t>Status</t>
  </si>
  <si>
    <t>Obs.</t>
  </si>
  <si>
    <t>Total</t>
  </si>
  <si>
    <t>Viaje Ricardo-Paty</t>
  </si>
  <si>
    <t>Vuelos SLC-BNE</t>
  </si>
  <si>
    <t>Pagado</t>
  </si>
  <si>
    <t>Hotel Hobart</t>
  </si>
  <si>
    <t>Hotel Melbourne</t>
  </si>
  <si>
    <t>Vuelo BNE - HBA / MEL - BNE</t>
  </si>
  <si>
    <t>Rent a Car - 5 Dias</t>
  </si>
  <si>
    <t>Ferry HBA - MEL</t>
  </si>
  <si>
    <t>Reserva AOS</t>
  </si>
  <si>
    <t>Horse Darling Downs</t>
  </si>
  <si>
    <t>Reserva QPAC</t>
  </si>
  <si>
    <t>Puffing Train</t>
  </si>
  <si>
    <t>Extra Bag Hobart Ida</t>
  </si>
  <si>
    <t>Extra Bag Mel Vuelta</t>
  </si>
  <si>
    <t>Viaje Fabiola-HTO-Pauli</t>
  </si>
  <si>
    <t>Vuelos SLC - BNE</t>
  </si>
  <si>
    <t>Vuelo BNE - Beijing x5</t>
  </si>
  <si>
    <t>Vuelo BNE - SYDNEY x4</t>
  </si>
  <si>
    <t>Vuelo BNE-SYDNEY Vale</t>
  </si>
  <si>
    <t>Solo Cotizado</t>
  </si>
  <si>
    <t>Hotel Beijing x5</t>
  </si>
  <si>
    <t>Reservado no Pagado</t>
  </si>
  <si>
    <t>Hotel Sydney x5</t>
  </si>
  <si>
    <t>Reserva Opera House</t>
  </si>
  <si>
    <t>JB-HIFI Laptops x2</t>
  </si>
  <si>
    <t>Viaje Papis x2</t>
  </si>
  <si>
    <t>p/p</t>
  </si>
  <si>
    <t>Pagado sin Viaje Pauli</t>
  </si>
  <si>
    <t>Reservas/Cotizado</t>
  </si>
  <si>
    <t>Check Total</t>
  </si>
  <si>
    <t>Aporte Vale</t>
  </si>
  <si>
    <t>Aporte Pato</t>
  </si>
  <si>
    <t>Notas:</t>
  </si>
  <si>
    <t xml:space="preserve">Día </t>
  </si>
  <si>
    <t>Clase</t>
  </si>
  <si>
    <t>Duración Minutos</t>
  </si>
  <si>
    <t xml:space="preserve">% Avance </t>
  </si>
  <si>
    <t>Modelo</t>
  </si>
  <si>
    <t>Hrs 2x</t>
  </si>
  <si>
    <t>Hrs 2x Acum</t>
  </si>
  <si>
    <t>Semana 26/01 - 01/02</t>
  </si>
  <si>
    <t>W01 - Lunes</t>
  </si>
  <si>
    <t>JS - 40</t>
  </si>
  <si>
    <t>Lu</t>
  </si>
  <si>
    <t>JS - 41</t>
  </si>
  <si>
    <t>Ma</t>
  </si>
  <si>
    <t>JS - 42</t>
  </si>
  <si>
    <t>Mi</t>
  </si>
  <si>
    <t>Horas Total x Semana</t>
  </si>
  <si>
    <t>Ju</t>
  </si>
  <si>
    <t>ReactsJS - 00</t>
  </si>
  <si>
    <t>Vi</t>
  </si>
  <si>
    <t>ReactsJS - 01</t>
  </si>
  <si>
    <t>Sa</t>
  </si>
  <si>
    <t xml:space="preserve">Total Horas 2X Speed </t>
  </si>
  <si>
    <t>ReactsJS - 02</t>
  </si>
  <si>
    <t>Do</t>
  </si>
  <si>
    <t>ReactsJS - 03</t>
  </si>
  <si>
    <t>Total Semana</t>
  </si>
  <si>
    <t>ReactsJS - 04</t>
  </si>
  <si>
    <t>ReactsJS - 05</t>
  </si>
  <si>
    <t xml:space="preserve">Curso </t>
  </si>
  <si>
    <t>Horas Pendiente</t>
  </si>
  <si>
    <t>Horas 2X</t>
  </si>
  <si>
    <t>Hrs 2x WK Acum</t>
  </si>
  <si>
    <t>Diff Acum.</t>
  </si>
  <si>
    <t>Semana</t>
  </si>
  <si>
    <t>Total Semana 2X</t>
  </si>
  <si>
    <t>Primera Fila</t>
  </si>
  <si>
    <t>Ultima Fila</t>
  </si>
  <si>
    <t xml:space="preserve">Horas por día </t>
  </si>
  <si>
    <t>Horas por día 2x</t>
  </si>
  <si>
    <t>ReactsJS - 06</t>
  </si>
  <si>
    <t>Prework</t>
  </si>
  <si>
    <t>Introduccion</t>
  </si>
  <si>
    <t>W01</t>
  </si>
  <si>
    <t>ReactsJS - 07</t>
  </si>
  <si>
    <t>Bases de la informatica</t>
  </si>
  <si>
    <t>ReactsJS - 08</t>
  </si>
  <si>
    <t>Pseudocodigo</t>
  </si>
  <si>
    <t>ReactsJS - 09</t>
  </si>
  <si>
    <t>Linux y Terminal</t>
  </si>
  <si>
    <t>ReactsJS - 10</t>
  </si>
  <si>
    <t>Python</t>
  </si>
  <si>
    <t>ReactsJS - 11</t>
  </si>
  <si>
    <t>Python Avanzado</t>
  </si>
  <si>
    <t>ReactsJS - 12</t>
  </si>
  <si>
    <t>Principios SOLID</t>
  </si>
  <si>
    <t>ORM (SQLAlchemy)</t>
  </si>
  <si>
    <t>W02</t>
  </si>
  <si>
    <t>W01 - Martes</t>
  </si>
  <si>
    <t>Typescript - 01</t>
  </si>
  <si>
    <t>Git y GitHub</t>
  </si>
  <si>
    <t>Subtotal</t>
  </si>
  <si>
    <t>Streamlit - 00</t>
  </si>
  <si>
    <t>Frontend</t>
  </si>
  <si>
    <t>HTML</t>
  </si>
  <si>
    <t>Streamlit - 01</t>
  </si>
  <si>
    <t>CSS</t>
  </si>
  <si>
    <t xml:space="preserve">W01 - Miércoles </t>
  </si>
  <si>
    <t>Streamlit - 02</t>
  </si>
  <si>
    <t>JavaScript</t>
  </si>
  <si>
    <t>Streamlit - 03</t>
  </si>
  <si>
    <t>ReactJS</t>
  </si>
  <si>
    <t>W03</t>
  </si>
  <si>
    <t>Streamlit - 04</t>
  </si>
  <si>
    <t>TypeScript</t>
  </si>
  <si>
    <t>Django - 01</t>
  </si>
  <si>
    <t xml:space="preserve">W01 - Jueves </t>
  </si>
  <si>
    <t>Django - 02</t>
  </si>
  <si>
    <t>Backend</t>
  </si>
  <si>
    <t>SQL</t>
  </si>
  <si>
    <t>Django - 03</t>
  </si>
  <si>
    <t>Streamlit</t>
  </si>
  <si>
    <t>Django - 04</t>
  </si>
  <si>
    <t>Django</t>
  </si>
  <si>
    <t>Django - 05</t>
  </si>
  <si>
    <t>WordPress</t>
  </si>
  <si>
    <t>W04</t>
  </si>
  <si>
    <t>Django - 06</t>
  </si>
  <si>
    <t>Despliegue</t>
  </si>
  <si>
    <t>Django - 07</t>
  </si>
  <si>
    <t>SEO</t>
  </si>
  <si>
    <t>Django - 08</t>
  </si>
  <si>
    <t>W01 - Viernes</t>
  </si>
  <si>
    <t>Django - 09</t>
  </si>
  <si>
    <t>Django - 10</t>
  </si>
  <si>
    <t xml:space="preserve">Preparación Entrevistas </t>
  </si>
  <si>
    <t>Prep. Entre.</t>
  </si>
  <si>
    <t>Django - 11</t>
  </si>
  <si>
    <t xml:space="preserve">Met. Ágiles </t>
  </si>
  <si>
    <t>Django - 12</t>
  </si>
  <si>
    <t>Soft Skills</t>
  </si>
  <si>
    <t>W05</t>
  </si>
  <si>
    <t>Django - 13</t>
  </si>
  <si>
    <t>Django - 14</t>
  </si>
  <si>
    <t>Django - 15</t>
  </si>
  <si>
    <t xml:space="preserve">Frontend Experto </t>
  </si>
  <si>
    <t xml:space="preserve">ReactsJS </t>
  </si>
  <si>
    <t>Django - 16</t>
  </si>
  <si>
    <t>ReactsJS Avan</t>
  </si>
  <si>
    <t>Django - 17</t>
  </si>
  <si>
    <t>Astro</t>
  </si>
  <si>
    <t>W01 - Sabado</t>
  </si>
  <si>
    <t>Django - 18</t>
  </si>
  <si>
    <t>Angular</t>
  </si>
  <si>
    <t>Django - 19</t>
  </si>
  <si>
    <t>VueJS</t>
  </si>
  <si>
    <t>W06</t>
  </si>
  <si>
    <t>W01 - Domingo</t>
  </si>
  <si>
    <t>Django - 20</t>
  </si>
  <si>
    <t>Django - 21</t>
  </si>
  <si>
    <t>Django - 22</t>
  </si>
  <si>
    <t xml:space="preserve">Backend Experto </t>
  </si>
  <si>
    <t>SQL Avanzado</t>
  </si>
  <si>
    <t>Django - 22B</t>
  </si>
  <si>
    <t>Java</t>
  </si>
  <si>
    <t>Django - 23</t>
  </si>
  <si>
    <t>Node.Js</t>
  </si>
  <si>
    <t>Django - 24</t>
  </si>
  <si>
    <t>Rust</t>
  </si>
  <si>
    <t>Django - 25</t>
  </si>
  <si>
    <t>Go</t>
  </si>
  <si>
    <t>W07</t>
  </si>
  <si>
    <t>Django - 26</t>
  </si>
  <si>
    <t>W02 - Lunes</t>
  </si>
  <si>
    <t>Django - 27</t>
  </si>
  <si>
    <t>Django - 28</t>
  </si>
  <si>
    <t>Total FullStack</t>
  </si>
  <si>
    <t>Django - 29</t>
  </si>
  <si>
    <t>Django - 30</t>
  </si>
  <si>
    <t>Extras</t>
  </si>
  <si>
    <t>Docker</t>
  </si>
  <si>
    <t>Django - 31</t>
  </si>
  <si>
    <t>Uso AI</t>
  </si>
  <si>
    <t>Django - 32</t>
  </si>
  <si>
    <t>Prod. y Emp.</t>
  </si>
  <si>
    <t>W08</t>
  </si>
  <si>
    <t>Django - 33</t>
  </si>
  <si>
    <t>Total Extras</t>
  </si>
  <si>
    <t>Django - 34</t>
  </si>
  <si>
    <t>Django - 35</t>
  </si>
  <si>
    <t>Total Conquer</t>
  </si>
  <si>
    <t>Django - 36</t>
  </si>
  <si>
    <t>Semanas</t>
  </si>
  <si>
    <t>Django - 36B</t>
  </si>
  <si>
    <t>Mes</t>
  </si>
  <si>
    <t>Django - 37</t>
  </si>
  <si>
    <t>Django - 38</t>
  </si>
  <si>
    <t>W09</t>
  </si>
  <si>
    <t>Django - 39</t>
  </si>
  <si>
    <t>Django - 40</t>
  </si>
  <si>
    <t>W02 - Lunes-</t>
  </si>
  <si>
    <t>Django - 41</t>
  </si>
  <si>
    <t>W02 - Martes</t>
  </si>
  <si>
    <t>Django Instagram - 01</t>
  </si>
  <si>
    <t>Django Instagram - 02</t>
  </si>
  <si>
    <t>Django Instagram - 03</t>
  </si>
  <si>
    <t>Django Instagram - 04</t>
  </si>
  <si>
    <t>W10</t>
  </si>
  <si>
    <t xml:space="preserve">W02 - Miércoles </t>
  </si>
  <si>
    <t>Django Instagram - 05</t>
  </si>
  <si>
    <t>Django Instagram - 06</t>
  </si>
  <si>
    <t>Django Instagram - 07</t>
  </si>
  <si>
    <t>Django Instagram - 08</t>
  </si>
  <si>
    <t>Django Instagram - 09</t>
  </si>
  <si>
    <t>Django Instagram - 10</t>
  </si>
  <si>
    <t>Django Instagram - 11</t>
  </si>
  <si>
    <t>Django Instagram - 12</t>
  </si>
  <si>
    <t>Django Instagram - 13</t>
  </si>
  <si>
    <t>W02 - Jueves</t>
  </si>
  <si>
    <t>Django Instagram - 14</t>
  </si>
  <si>
    <t>Django Instagram - 15</t>
  </si>
  <si>
    <t>Django Instagram - 16</t>
  </si>
  <si>
    <t>WordPress - 00</t>
  </si>
  <si>
    <t>WordPress - 01</t>
  </si>
  <si>
    <t>WordPress - 02</t>
  </si>
  <si>
    <t>WordPress - 04</t>
  </si>
  <si>
    <t>WordPress - 05</t>
  </si>
  <si>
    <t>WordPress - 06</t>
  </si>
  <si>
    <t>WordPress - 07</t>
  </si>
  <si>
    <t>WordPress - 08</t>
  </si>
  <si>
    <t>WordPress - 09</t>
  </si>
  <si>
    <t>WordPress - 10</t>
  </si>
  <si>
    <t>WordPress - 11</t>
  </si>
  <si>
    <t>WordPress - 12</t>
  </si>
  <si>
    <t>WordPress - 13</t>
  </si>
  <si>
    <t>WordPress - 14</t>
  </si>
  <si>
    <t>W02 - Viernes</t>
  </si>
  <si>
    <t>WordPress - 15</t>
  </si>
  <si>
    <t>WordPress - 16</t>
  </si>
  <si>
    <t>WordPress - 17</t>
  </si>
  <si>
    <t>WordPress - 18</t>
  </si>
  <si>
    <t>WordPress - 19</t>
  </si>
  <si>
    <t>WordPress - 20</t>
  </si>
  <si>
    <t>WordPress - 21</t>
  </si>
  <si>
    <t>WordPress - 22</t>
  </si>
  <si>
    <t>Despliegue - 01</t>
  </si>
  <si>
    <t>Despliegue - 02</t>
  </si>
  <si>
    <t>Despliegue - 03</t>
  </si>
  <si>
    <t>Despliegue - 04</t>
  </si>
  <si>
    <t>Despliegue - 05</t>
  </si>
  <si>
    <t>W02 - Sabado</t>
  </si>
  <si>
    <t>Despliegue - 06</t>
  </si>
  <si>
    <t>Despliegue - 07</t>
  </si>
  <si>
    <t>Despliegue - 08</t>
  </si>
  <si>
    <t>Despliegue - 09</t>
  </si>
  <si>
    <t>Despliegue - 10</t>
  </si>
  <si>
    <t>Despliegue - 11</t>
  </si>
  <si>
    <t>Despliegue - 12</t>
  </si>
  <si>
    <t>Despliegue - 13</t>
  </si>
  <si>
    <t>Despliegue - 14</t>
  </si>
  <si>
    <t>Despliegue - 15</t>
  </si>
  <si>
    <t>Despliegue - 16</t>
  </si>
  <si>
    <t>Despliegue - 17</t>
  </si>
  <si>
    <t>SEO - 01</t>
  </si>
  <si>
    <t>SEO - 02</t>
  </si>
  <si>
    <t>Finish Backend</t>
  </si>
  <si>
    <t>SEO - 03</t>
  </si>
  <si>
    <t>Prep. Entrevistas - 00</t>
  </si>
  <si>
    <t>Prep. Entrevistas - 01</t>
  </si>
  <si>
    <t>Prep. Entrevistas - 02</t>
  </si>
  <si>
    <t>Prep. Entrevistas - 03</t>
  </si>
  <si>
    <t>Prep. Entrevistas - 04</t>
  </si>
  <si>
    <t>Prep. Entrevistas - 05A</t>
  </si>
  <si>
    <t>Prep. Entrevistas - 05B</t>
  </si>
  <si>
    <t>Prep. Entrevistas - 06</t>
  </si>
  <si>
    <t>Prep. Entrevistas - 07</t>
  </si>
  <si>
    <t>Prep. Entrevistas - 08</t>
  </si>
  <si>
    <t>Prep. Entrevistas - 09</t>
  </si>
  <si>
    <t>Prep. Entrevistas - 10</t>
  </si>
  <si>
    <t>Prep. Entrevistas - 11</t>
  </si>
  <si>
    <t>Prep. Entrevistas - 12</t>
  </si>
  <si>
    <t>Prep. Entrevistas - 13</t>
  </si>
  <si>
    <t>Prep. Entrevistas - 14</t>
  </si>
  <si>
    <t>Prep. Entrevistas - 15</t>
  </si>
  <si>
    <t>Prep. Entrevistas - 16</t>
  </si>
  <si>
    <t>Prep. Entrevistas - 17</t>
  </si>
  <si>
    <t>Prep. Entr. Sim - 01</t>
  </si>
  <si>
    <t>Prep. Entr. Sim - 02</t>
  </si>
  <si>
    <t>Prep. Entr. Sim - 03</t>
  </si>
  <si>
    <t>Prep. Entr. Sim - 04</t>
  </si>
  <si>
    <t>Prep. Entr. Sim - 05</t>
  </si>
  <si>
    <t>Prep. Entr. Sim - 06</t>
  </si>
  <si>
    <t>Prep. Entr. Sim - 07</t>
  </si>
  <si>
    <t>Prep. Entr. Sim - 08</t>
  </si>
  <si>
    <t>Prep. Entr. Sim - 09</t>
  </si>
  <si>
    <t>W05 - Jueves</t>
  </si>
  <si>
    <t>Metodologia Agiles - 01</t>
  </si>
  <si>
    <t>Metodologia Agiles - 02</t>
  </si>
  <si>
    <t>Metodologia Agiles - 03</t>
  </si>
  <si>
    <t>Soft Skills - 01</t>
  </si>
  <si>
    <t>Soft Skills - 02</t>
  </si>
  <si>
    <t>W05 - Viernes</t>
  </si>
  <si>
    <t>Soft Skills - 03</t>
  </si>
  <si>
    <t>Soft Skills - 04</t>
  </si>
  <si>
    <t>Soft Skills - 05</t>
  </si>
  <si>
    <t>Soft Skills - 06</t>
  </si>
  <si>
    <t>Soft Skills - 07</t>
  </si>
  <si>
    <t>Finish Extras</t>
  </si>
  <si>
    <t xml:space="preserve">W05 - Sabado </t>
  </si>
  <si>
    <t>Soft Skills - 08</t>
  </si>
  <si>
    <t>W02 - Domingo</t>
  </si>
  <si>
    <t>ReactJS- 01</t>
  </si>
  <si>
    <t>ReactJS- 02</t>
  </si>
  <si>
    <t>ReactJS- 03</t>
  </si>
  <si>
    <t>ReactJS- 04</t>
  </si>
  <si>
    <t>ReactJS- 05</t>
  </si>
  <si>
    <t>ReactJS- 06</t>
  </si>
  <si>
    <t>ReactJS- 07</t>
  </si>
  <si>
    <t>ReactJS- 08</t>
  </si>
  <si>
    <t>W03 - Lunes</t>
  </si>
  <si>
    <t>ReactJS- 09</t>
  </si>
  <si>
    <t>ReactJS- 10</t>
  </si>
  <si>
    <t>ReactJS- 11</t>
  </si>
  <si>
    <t>ReactJS- 12</t>
  </si>
  <si>
    <t>ReactJS- 13</t>
  </si>
  <si>
    <t>ReactJS- 14</t>
  </si>
  <si>
    <t>ReactJS- 15</t>
  </si>
  <si>
    <t>ReactJS- 16</t>
  </si>
  <si>
    <t>W03 - Martes</t>
  </si>
  <si>
    <t>ReacJs Avanzado - 01</t>
  </si>
  <si>
    <t>ReacJs Avanzado - 02</t>
  </si>
  <si>
    <t>ReacJs Avanzado - 03</t>
  </si>
  <si>
    <t>ReacJs Avanzado - 04</t>
  </si>
  <si>
    <t>ReacJs Avanzado - 05</t>
  </si>
  <si>
    <t>ReacJs Avanzado - 06</t>
  </si>
  <si>
    <t>ReacJs Avanzado - 07</t>
  </si>
  <si>
    <t>Astro - 01</t>
  </si>
  <si>
    <t>Astro - 02</t>
  </si>
  <si>
    <t>W03 - Miercoles</t>
  </si>
  <si>
    <t>Astro - 03</t>
  </si>
  <si>
    <t>Astro - 04</t>
  </si>
  <si>
    <t>Astro - 05</t>
  </si>
  <si>
    <t>Astro - 06</t>
  </si>
  <si>
    <t>Astro - 07</t>
  </si>
  <si>
    <t>Astro - 08</t>
  </si>
  <si>
    <t>Astro - 09</t>
  </si>
  <si>
    <t>Astro - 10</t>
  </si>
  <si>
    <t>Astro - 11</t>
  </si>
  <si>
    <t>Astro - 12</t>
  </si>
  <si>
    <t>Angular - 01</t>
  </si>
  <si>
    <t>Angular - 02</t>
  </si>
  <si>
    <t>Angular - 03</t>
  </si>
  <si>
    <t>W03 - Jueves</t>
  </si>
  <si>
    <t>Angular - 04</t>
  </si>
  <si>
    <t>Angular - 05</t>
  </si>
  <si>
    <t>Angular - 06</t>
  </si>
  <si>
    <t>Angular - 07</t>
  </si>
  <si>
    <t>Angular - 08</t>
  </si>
  <si>
    <t>VueJS - 01</t>
  </si>
  <si>
    <t>VueJS - 02</t>
  </si>
  <si>
    <t>VueJS - 03</t>
  </si>
  <si>
    <t>VueJS - 04</t>
  </si>
  <si>
    <t>Finish Front Exp.</t>
  </si>
  <si>
    <t>VueJS - 05</t>
  </si>
  <si>
    <t>SQL Avanz. - 01</t>
  </si>
  <si>
    <t>SQL Avanz. - 02</t>
  </si>
  <si>
    <t>SQL Avanz. - 03</t>
  </si>
  <si>
    <t>SQL Avanz. - 04</t>
  </si>
  <si>
    <t>SQL Avanz. - 05</t>
  </si>
  <si>
    <t>SQL Avanz. - 06</t>
  </si>
  <si>
    <t>W03 - Viernes</t>
  </si>
  <si>
    <t>SQL Avanz. - 07</t>
  </si>
  <si>
    <t>SQL Avanz. - 08</t>
  </si>
  <si>
    <t>SQL Avanz. - 09</t>
  </si>
  <si>
    <t>SQL Avanz. - 10</t>
  </si>
  <si>
    <t>SQL Avanz. - 11</t>
  </si>
  <si>
    <t>SQL Avanz. - 12</t>
  </si>
  <si>
    <t>W03 - Sabado</t>
  </si>
  <si>
    <t>SQL Avanz. - 13</t>
  </si>
  <si>
    <t>SQL Avanz. - 14</t>
  </si>
  <si>
    <t>Java - 01</t>
  </si>
  <si>
    <t>Java - 02</t>
  </si>
  <si>
    <t>Java - 03</t>
  </si>
  <si>
    <t>Java - 04</t>
  </si>
  <si>
    <t>Java - 05</t>
  </si>
  <si>
    <t>Java - 06</t>
  </si>
  <si>
    <t>W03 - Domingo</t>
  </si>
  <si>
    <t>Java - 07</t>
  </si>
  <si>
    <t>Java - 08</t>
  </si>
  <si>
    <t>Java - 09</t>
  </si>
  <si>
    <t>Java - 10</t>
  </si>
  <si>
    <t>Java - 11</t>
  </si>
  <si>
    <t>W04 - Lunes</t>
  </si>
  <si>
    <t>Java - 12</t>
  </si>
  <si>
    <t>Java - 13</t>
  </si>
  <si>
    <t>Java - 14</t>
  </si>
  <si>
    <t>Java - 15</t>
  </si>
  <si>
    <t>Java - 16</t>
  </si>
  <si>
    <t>NodeJS - 01</t>
  </si>
  <si>
    <t>NodeJS - 02</t>
  </si>
  <si>
    <t>NodeJS - 03</t>
  </si>
  <si>
    <t>NodeJS - 04</t>
  </si>
  <si>
    <t>NodeJS - 05</t>
  </si>
  <si>
    <t>NodeJS - 06</t>
  </si>
  <si>
    <t>NodeJS - 07</t>
  </si>
  <si>
    <t>W04 - Martes</t>
  </si>
  <si>
    <t>NodeJS - 08</t>
  </si>
  <si>
    <t>NodeJS - 09</t>
  </si>
  <si>
    <t>NodeJS - 10</t>
  </si>
  <si>
    <t>NodeJS - 11</t>
  </si>
  <si>
    <t>NodeJS - 12</t>
  </si>
  <si>
    <t>NodeJS - 13</t>
  </si>
  <si>
    <t>NodeJS - 14</t>
  </si>
  <si>
    <t>NodeJS - 15</t>
  </si>
  <si>
    <t>NodeJS - 16</t>
  </si>
  <si>
    <t>Rust - 01</t>
  </si>
  <si>
    <t xml:space="preserve">W04 - Miércoles </t>
  </si>
  <si>
    <t>Rust - 02</t>
  </si>
  <si>
    <t>Rust - 03</t>
  </si>
  <si>
    <t>Rust - 04</t>
  </si>
  <si>
    <t>Rust - 05</t>
  </si>
  <si>
    <t>Rust - 06</t>
  </si>
  <si>
    <t>Rust - 07</t>
  </si>
  <si>
    <t>W04 - Jueves</t>
  </si>
  <si>
    <t>Rust - 08</t>
  </si>
  <si>
    <t>Rust - 09</t>
  </si>
  <si>
    <t>Rust - 10</t>
  </si>
  <si>
    <t>Rust - 11</t>
  </si>
  <si>
    <t>Rust - 12</t>
  </si>
  <si>
    <t>W04 - Viernes:</t>
  </si>
  <si>
    <t>Rust - 13</t>
  </si>
  <si>
    <t>W04 - Viernes</t>
  </si>
  <si>
    <t>Rust - 14</t>
  </si>
  <si>
    <t>Go - 01</t>
  </si>
  <si>
    <t>Go - 02</t>
  </si>
  <si>
    <t>W04 - Sabado</t>
  </si>
  <si>
    <t>Go - 03</t>
  </si>
  <si>
    <t>Go - 04</t>
  </si>
  <si>
    <t>W04 - Domingo</t>
  </si>
  <si>
    <t>Go - 05</t>
  </si>
  <si>
    <t>Go - 06</t>
  </si>
  <si>
    <t>Go - 07</t>
  </si>
  <si>
    <t>Finish Back Exp.</t>
  </si>
  <si>
    <t>Go - 08</t>
  </si>
  <si>
    <t>Docker - 01</t>
  </si>
  <si>
    <t>Docker - 02</t>
  </si>
  <si>
    <t>Docker - 03</t>
  </si>
  <si>
    <t>Docker - 04</t>
  </si>
  <si>
    <t>Docker - 05</t>
  </si>
  <si>
    <t>Docker - 06</t>
  </si>
  <si>
    <t>Docker - 07</t>
  </si>
  <si>
    <t>Docker - 08</t>
  </si>
  <si>
    <t>Docker - 09</t>
  </si>
  <si>
    <t>Docker - 10</t>
  </si>
  <si>
    <t>Docker - 11</t>
  </si>
  <si>
    <t>Docker - 12</t>
  </si>
  <si>
    <t>Docker - 13</t>
  </si>
  <si>
    <t>Docker - 14</t>
  </si>
  <si>
    <t>Docker - 15</t>
  </si>
  <si>
    <t>Docker - 16</t>
  </si>
  <si>
    <t>Docker - 17</t>
  </si>
  <si>
    <t>Docker - 18</t>
  </si>
  <si>
    <t>Docker - 19</t>
  </si>
  <si>
    <t>Docker - 20</t>
  </si>
  <si>
    <t>Uso AI - 01</t>
  </si>
  <si>
    <t>Uso AI - 02</t>
  </si>
  <si>
    <t>W05 - Lunes</t>
  </si>
  <si>
    <t>Uso AI - 03</t>
  </si>
  <si>
    <t>Uso AI - 04</t>
  </si>
  <si>
    <t>Uso AI - 05</t>
  </si>
  <si>
    <t>Uso AI - 06</t>
  </si>
  <si>
    <t>Uso AI - 07</t>
  </si>
  <si>
    <t>Uso AI - 08</t>
  </si>
  <si>
    <t>Uso AI - 09</t>
  </si>
  <si>
    <t>Uso AI - 10</t>
  </si>
  <si>
    <t>Productividad - 01</t>
  </si>
  <si>
    <t>W05 - Martes</t>
  </si>
  <si>
    <t>Productividad - 02</t>
  </si>
  <si>
    <t>Productividad - 03</t>
  </si>
  <si>
    <t>W05 - Miercoles</t>
  </si>
  <si>
    <t>Productividad - 04</t>
  </si>
  <si>
    <t>Productividad - 05</t>
  </si>
  <si>
    <t>Productividad - 06</t>
  </si>
  <si>
    <t>Productividad - 07</t>
  </si>
  <si>
    <t>Emprendimiento - 01</t>
  </si>
  <si>
    <t>Terminadas</t>
  </si>
  <si>
    <t>INTRODUCCIÓN</t>
  </si>
  <si>
    <t>INTRO Clase 01 – Bienvenid@ a Conquer Blocks</t>
  </si>
  <si>
    <t>INTRO Clase 02 – Roadmap to Full Stack [Octubre 2024]</t>
  </si>
  <si>
    <t>INTRO Clase 03 – Conquer Rank</t>
  </si>
  <si>
    <t>INTRO Clase 4 – Certificado de matriculación</t>
  </si>
  <si>
    <t>PREWORK - Bases de la informatica</t>
  </si>
  <si>
    <t>Clase 1: Estructura general de un ordenador</t>
  </si>
  <si>
    <t>Clase 2: Estructuración de datos y creación de algoritmos</t>
  </si>
  <si>
    <t>Clase 3: Desarrollo de Algoritmos (Continuación)</t>
  </si>
  <si>
    <t>PREWORK - Pseudocodigo</t>
  </si>
  <si>
    <t>Clase 1: Introducción al Pseudocódigo y PSEINT</t>
  </si>
  <si>
    <t>Clase 2: Repaso de clase anterior, operadores lógicos y estructuras SI-Entonces y Según</t>
  </si>
  <si>
    <t>Clase 3: Operadores algebraicos, lógicos y estructuras de control</t>
  </si>
  <si>
    <t>Clase 4: Funciones matemáticas y bucles</t>
  </si>
  <si>
    <t>Clase 5: Funciones matemáticas y estructuras iterativas</t>
  </si>
  <si>
    <t>Clase 6: Arrays unidimensionales y bidimensionales y cadenas de caracteres</t>
  </si>
  <si>
    <t>Clase 7: Resolución de ejercicios de la clase anterior</t>
  </si>
  <si>
    <t>Clase 8: AMA con Salva de resolución de dudas</t>
  </si>
  <si>
    <t>Clase 9: Repaso de lo visto anteriormente y funciones propias</t>
  </si>
  <si>
    <t>Clase 10: Resolución de ejercicios con funciones</t>
  </si>
  <si>
    <t>Clase 11: Resolución de ejercicios finales</t>
  </si>
  <si>
    <t>Resolución de errores al instalar en Mac</t>
  </si>
  <si>
    <t>PREWORK - Linux y Terminal</t>
  </si>
  <si>
    <t>LyT Clase 01 – Qué es Linux y la Terminal</t>
  </si>
  <si>
    <t>LyT Clase 02 – Instalación y configuración de Virtual Box</t>
  </si>
  <si>
    <t>LyT Clase 03 – Instalando Sistemas Operativos Windows y Linux Multiboot</t>
  </si>
  <si>
    <t>LyT Clase 04 – Instalación únicamente de Linux o Windows 10</t>
  </si>
  <si>
    <t>LyT Clase 05 – Instalación guest additions en Virtual Box</t>
  </si>
  <si>
    <t>LyT Clase 06 – WSL Windows Subsystem for Linux</t>
  </si>
  <si>
    <t>LyT Clase 07 – ¿Qué es un comando y tipos archivos</t>
  </si>
  <si>
    <t>LyT Clase 08 – Ficheros y ficheros de configuración</t>
  </si>
  <si>
    <t>LyT Clase 09 – Directorios especiales, rutas y comodines</t>
  </si>
  <si>
    <t>LyT Clase 10 – Archivo de Host para registros DNS</t>
  </si>
  <si>
    <t>LyT Clase 11 – Comandos útiles I</t>
  </si>
  <si>
    <t>LyT Clase 12 – Comandos útiles II</t>
  </si>
  <si>
    <t>LyT Clase 13 – Relación de ejercicios I</t>
  </si>
  <si>
    <t>LyT Clase 14 – Comandos útiles III</t>
  </si>
  <si>
    <t>LyT Clase 15 – Relación de ejercicios II</t>
  </si>
  <si>
    <t>LyT Clase 16 – Gestión de usuarios y grupos</t>
  </si>
  <si>
    <t>LyT Clase 17 – Ejercicios sobre usuarios y grupos</t>
  </si>
  <si>
    <t>LyT Clase 18 – Gestión de permisos</t>
  </si>
  <si>
    <t>LyT Clase 19 – Ejercicios con gestión de permisos</t>
  </si>
  <si>
    <t>LyT Clase 20 – Shell Script y Cron</t>
  </si>
  <si>
    <t>LyT Clase 21 – Servidor SSH y conexión remota</t>
  </si>
  <si>
    <t>LyT Clase 22 – Clave pública y clave privada</t>
  </si>
  <si>
    <t>LyT Clase 23 – Ssh-copy-id Rsycn y ejercicios</t>
  </si>
  <si>
    <t>LyT Clase 24 – Prepara tu terminal en Windows</t>
  </si>
  <si>
    <t>PREWORK - Python</t>
  </si>
  <si>
    <t>Clase 1: Preparando de VSCode y plugins necesarios versión actualizada a noviembre de 2024</t>
  </si>
  <si>
    <t>Clase 2: ¿Qué es la terminal y cómo funciona?</t>
  </si>
  <si>
    <t>Clase 3: Trabajando con la Terminal – Resolución de ejercicios en MAC/Linux</t>
  </si>
  <si>
    <t>Clase 4: VS Code – Resolución de ejercicios terminal (Windows)</t>
  </si>
  <si>
    <t>Clase 5: Gestión de Entornos con Conda – Instalación en MAC</t>
  </si>
  <si>
    <t>Clase 6: Instalación de Conda en Windows</t>
  </si>
  <si>
    <t>Clase 7: Error al activar environments en tu terminal en Windows</t>
  </si>
  <si>
    <t>Clase 1: Teoría 1 sobre Variables, Tipos de Datos y Operaciones Básicas</t>
  </si>
  <si>
    <t>Clase 2: Práctica ejercicios sobre Variables, Tipos de Datos y Operaciones Básicas</t>
  </si>
  <si>
    <t>Clase 1: Teoría de Condicionales, if-statements y switch-case</t>
  </si>
  <si>
    <t>Clase 2: Práctica 2a Test Condicionales, if-statements y switch-case</t>
  </si>
  <si>
    <t>Clase 3: Práctica 2b Test Condicionales, if-statements y switch-case</t>
  </si>
  <si>
    <t>Clase 4: Práctica 2c Test Condicionales, if-statements y switch-case</t>
  </si>
  <si>
    <t>Clase 5: AMA: Tema 1 y 2</t>
  </si>
  <si>
    <t>Clase 1: Teoría sobre Listas y estructuras Iterativas (Parte 1)</t>
  </si>
  <si>
    <t>Clase 2: Teoría sobre Listas y estructuras Iterativas (Parte 2)</t>
  </si>
  <si>
    <t>Clase 3: Práctica 3a: Listas y estructuras Iterativas (Parte 1)</t>
  </si>
  <si>
    <t>Clase 4: Práctica 3a: Listas y estructuras Iterativas (Parte 2)</t>
  </si>
  <si>
    <t>Clase 5: Práctica 3b Listas y Estructuras Iterativas</t>
  </si>
  <si>
    <t>Clase 6: Práctica 3c Listas y Estructuras Iterativas</t>
  </si>
  <si>
    <t>Clase 7: Práctica 3d Listas y Estructuras Iterativas</t>
  </si>
  <si>
    <t>Clase 8: AMA: Tema 3 (23-02-2023)</t>
  </si>
  <si>
    <t>Clase 9: Práctica Bonus Listas y Estructuras Iterativas (Parte 1)</t>
  </si>
  <si>
    <t>Clase 10: Práctica Bonus Listas y Estructuras Iterativas (Parte 2)</t>
  </si>
  <si>
    <t>Clase 1: Teoría Arrays y Módulos</t>
  </si>
  <si>
    <t>Clase 2: Teoría Trabajando con Arrays (Parte 1)</t>
  </si>
  <si>
    <t>Clase 3: Teoría Trabajando con Arrays (Parte 2)</t>
  </si>
  <si>
    <t>Clase 4: Práctica 4a Trabajando con Arrays (Parte 1)</t>
  </si>
  <si>
    <t>Clase 5: Práctica 4a Trabajando con Arrays (Parte 2)</t>
  </si>
  <si>
    <t>Clase 6: Práctica 4b Trabajando con Arrays</t>
  </si>
  <si>
    <t>Clase 7: Práctica 4c Trabajando con Arrays</t>
  </si>
  <si>
    <t>Clase 8: AMA Tema 4 Arrays y Módulos (13-04-2023)</t>
  </si>
  <si>
    <t>Clase 1: Teoría Tuplas y Sets (Parte 1)</t>
  </si>
  <si>
    <t>Clase 2: Teoría Tuplas y Sets (Parte 2)</t>
  </si>
  <si>
    <t>Clase 3: Práctica 5a Tuplas y Sets</t>
  </si>
  <si>
    <t>Clase 4: Práctica 5b Tuplas y Sets</t>
  </si>
  <si>
    <t>Clase 1: Teoría Diccionarios (Parte 1)</t>
  </si>
  <si>
    <t>Clase 2: Teoría Diccionarios (Parte 2)</t>
  </si>
  <si>
    <t>Clase 3: Práctica 6a Diccionarios</t>
  </si>
  <si>
    <t>Clase 4: Práctica 6b Diccionarios (Parte 1)</t>
  </si>
  <si>
    <t>Clase 5: Práctica 6b: Diccionarios (Parte 2)</t>
  </si>
  <si>
    <t>Clase 6: Práctica 6c: Diccionarios</t>
  </si>
  <si>
    <t>Recurso: Propiedades generales de las estructuras de datos en Python</t>
  </si>
  <si>
    <t>PREWORK - Python Avanzado</t>
  </si>
  <si>
    <t>Teoría 1: Introducción a Funciones</t>
  </si>
  <si>
    <t>Práctica 1a: Introducción a Funciones</t>
  </si>
  <si>
    <t>Teoría 1: Retorno, Argumentos Arbitrarios y uso de Módulos</t>
  </si>
  <si>
    <t>Práctica 1b: Valores de Retorno y Módulos</t>
  </si>
  <si>
    <t>Teoría 1: Recursividad y Memoización</t>
  </si>
  <si>
    <t>Práctica 1c: Recursividad y Memoización</t>
  </si>
  <si>
    <t>Teoría 1: Funciones Lambda y Decoradores</t>
  </si>
  <si>
    <t>Teoría 2: Manipulación de Archivos</t>
  </si>
  <si>
    <t>Teoría 2: Manejo de Excepciones</t>
  </si>
  <si>
    <t>Práctica 2a: Uso de Archivos y Excepciones</t>
  </si>
  <si>
    <t>Teoría 3: Programación Orientada a Objetos (Parte 1)</t>
  </si>
  <si>
    <t>Práctica 3a: Programación Orientada a Objetos</t>
  </si>
  <si>
    <t>Teoría 3: Programación Orientada a Objetos (Parte 2)</t>
  </si>
  <si>
    <t>AMA: Tema 3 (04-08-2023)</t>
  </si>
  <si>
    <t>Práctica 3b: Programación Orientada a Objetos</t>
  </si>
  <si>
    <t>Teoría 3: Programación Orientada a Objetos (Parte 3)</t>
  </si>
  <si>
    <t>Práctica 3c: Programación Orientada a Objetos</t>
  </si>
  <si>
    <t>AMA: Tema 3 (28-09-2024)</t>
  </si>
  <si>
    <t>Python Avanzado – Debugging de Python con VSCode</t>
  </si>
  <si>
    <t>Python Avanzado – Ejercicio 01 Torres de Hanoi</t>
  </si>
  <si>
    <t>Python Avanzado – Ejercicio 02 Problema de Gestion de Inventario</t>
  </si>
  <si>
    <t>Python Avanzado – Ejercicio 03 Resolución de laberinto</t>
  </si>
  <si>
    <t>Python Avanzado – Ejercicio 04 Organización de datos empresariales</t>
  </si>
  <si>
    <t>Python Avanzado – Ejercicio 05 Análisis de datos de ventas</t>
  </si>
  <si>
    <t>Python Avanzado – Ejercicio 06 Transformación y filtrado de nombres</t>
  </si>
  <si>
    <t>Python Avanzado – Ejercicio 07 Logger con tiempo de ejecución</t>
  </si>
  <si>
    <t>Python Avanzado – Ejercicio 08 Decorador control de acceso</t>
  </si>
  <si>
    <t>Python Avanzado – Ejercicio 09 Verificación de inicio de sesión</t>
  </si>
  <si>
    <t>Python Avanzado – Ejercicio 10 Optimización de sub-arreglo</t>
  </si>
  <si>
    <t>Python Avanzado – Ejercicio 11 Memoización en costes de envío</t>
  </si>
  <si>
    <t>Python Avanzado – Ejercicio 12 Memoización en análisis te texto</t>
  </si>
  <si>
    <t>EA Clase 01 – Introducción a la estadística</t>
  </si>
  <si>
    <t>EA Clase 02 – Gráficos y visualización de datos</t>
  </si>
  <si>
    <t>EA Clase 03 – Probabilidad</t>
  </si>
  <si>
    <t>EA Clase 04 – Correlación, regresión y métodos de muestreo</t>
  </si>
  <si>
    <t>Bonus – Web Scraping con Python</t>
  </si>
  <si>
    <t>Proyectos a desarrollar para tu portfolio</t>
  </si>
  <si>
    <t>PREWORK - SOLID</t>
  </si>
  <si>
    <t>SOLID Clase 01 – Repaso a POO en Python</t>
  </si>
  <si>
    <t>SOLID Clase 02 – Herencia vs Composición</t>
  </si>
  <si>
    <t>SOLID Clase 03 – Principio de responsabilidad única</t>
  </si>
  <si>
    <t>SOLID Clase 04 – Principio de abierto y cerrado</t>
  </si>
  <si>
    <t>SOLID Clase 05 – Principio de sustitución de Liskov</t>
  </si>
  <si>
    <t>SOLID Clase 06 – Principio de Segregación de Interfaces</t>
  </si>
  <si>
    <t>SOLID Clase 07 – Principio de Inversión de Dependencias</t>
  </si>
  <si>
    <t>PREWORK - ORM (SQLAlchemy)</t>
  </si>
  <si>
    <t>PY-ORM – 01 ¿Qué es un ORM?</t>
  </si>
  <si>
    <t>PY-ORM – 02 Operaciones básicas (CRUD) con SQLAlchemy</t>
  </si>
  <si>
    <t>PY-ORM – 03 Ejercicio compuesto SQLAlchemy</t>
  </si>
  <si>
    <t>PY-ORM – 04 – Repaso SOLID y SQLALCHEMY</t>
  </si>
  <si>
    <t>PY-ORM – 05 – Ejercicio final con SQLALCHEMY y SOLID – Restaurante</t>
  </si>
  <si>
    <t>PREWORK - Git y GitHub</t>
  </si>
  <si>
    <t>Git Clase 01 – Introducción a Git y Github por Mouredev</t>
  </si>
  <si>
    <t>Git Clase 02 – Prepara tu terminal como un Pro en Windows</t>
  </si>
  <si>
    <t>Git Clase 03 – Instalación y configuración</t>
  </si>
  <si>
    <t>Git Clase 04 – Creación de un repositorio y primeros comandos</t>
  </si>
  <si>
    <t>Git Clase 05 – Ramas, Staging y Git Log</t>
  </si>
  <si>
    <t>Git Clase 06 – Ejercicio práctico con ramas</t>
  </si>
  <si>
    <t>Git Clase 07 – Conflictos, stash y gitignore</t>
  </si>
  <si>
    <t>Git Clase 08 – Nuestro primer repositorio en Github</t>
  </si>
  <si>
    <t>Git Clase 09 – Nuestro primer git push</t>
  </si>
  <si>
    <t>Git Clase 10 – Flujo normal de trabajo en Github</t>
  </si>
  <si>
    <t>Git Clase 11 – Publicación de contenido con Github Pages y customización de nuestro perfil en Github</t>
  </si>
  <si>
    <t>FRONTEND - HTML</t>
  </si>
  <si>
    <t>Clase 00 HTML: Presentación del módulo</t>
  </si>
  <si>
    <t>Clase 01 HTML: Introducción</t>
  </si>
  <si>
    <t>Clase 02 HTML: Un poco de historia</t>
  </si>
  <si>
    <t>Clase 03 HTML: Los lenguajes de marcas</t>
  </si>
  <si>
    <t>Clase 04 HTML: Estructura de una página web</t>
  </si>
  <si>
    <t>Clase 04.2 HTML: Repositorio HTML</t>
  </si>
  <si>
    <t>Clase 04.3 HTML: LiveServer y SimpleHTTPServer</t>
  </si>
  <si>
    <t>Clase 04.4 HTML: Windows Resizer y Contenido Dummy</t>
  </si>
  <si>
    <t>Clase 05 HTML: Texto en HTML</t>
  </si>
  <si>
    <t>Clase 06 HTML: Etiquetas semánticas</t>
  </si>
  <si>
    <t>Clase 06-1: Tarea etiquetas semánticas</t>
  </si>
  <si>
    <t>Clase 06-2 HTML: Corrección de tareas de etiquetas semánticas</t>
  </si>
  <si>
    <t>Clase 07 HTML: Etiquetas de Agrupación</t>
  </si>
  <si>
    <t>Clase 07-2 HTML: Corrección de tareas sobre listas</t>
  </si>
  <si>
    <t>Clase 08 HTML: Tablas I</t>
  </si>
  <si>
    <t>Clase 08-1 HTML: Resolución de tareas de tablas sencillas</t>
  </si>
  <si>
    <t>Clase 09 HTML: Tablas avanzadas</t>
  </si>
  <si>
    <t>Clase 10 HTML: Formularios I</t>
  </si>
  <si>
    <t>Clase 11 HTML: Formularios II</t>
  </si>
  <si>
    <t>Clase 12 HTML: Tareas de formularios</t>
  </si>
  <si>
    <t>Clase 13 HTML: Imágenes en la web</t>
  </si>
  <si>
    <t>Clase 14 HTML: Etiquetas multimedia</t>
  </si>
  <si>
    <t>Clase 15 HTML: Etiquetas interactivas</t>
  </si>
  <si>
    <t>Clase 16 HTML: Resolución de proyecto Web</t>
  </si>
  <si>
    <t>Clase 17 HTML: Corrección de proyectos HTML</t>
  </si>
  <si>
    <t>Clase 18 HTML: Tareas de alumnos y feedback</t>
  </si>
  <si>
    <t>Clase Bonus HTML – Creación e instalación de un Favicon</t>
  </si>
  <si>
    <t>FRONTEND - CSS</t>
  </si>
  <si>
    <t>CSS Clase 01: Introducción a CSS</t>
  </si>
  <si>
    <t>CSS Clase 02: Unidades de medida</t>
  </si>
  <si>
    <t>CSS Clase 03: Tipos de etiquetas y CSS del navegador</t>
  </si>
  <si>
    <t>CSS Clase 04: Cascada y especificidad</t>
  </si>
  <si>
    <t>CSS Clase 05: Selectores I</t>
  </si>
  <si>
    <t>CSS Clase 06: Selectores II</t>
  </si>
  <si>
    <t>CSS Clase 07: Selectores III</t>
  </si>
  <si>
    <t>CSS Clase 08: Selectores IV</t>
  </si>
  <si>
    <t>CSS Clase 09: Resolución de ejercicios de selectores</t>
  </si>
  <si>
    <t>CSS Clase 10: Texto en CSS</t>
  </si>
  <si>
    <t>CSS Clase 11: Texto en CSS II</t>
  </si>
  <si>
    <t>CSS Clase 12: Tipografías en CSS</t>
  </si>
  <si>
    <t>CSS Clase 13: Iconos tipográficos</t>
  </si>
  <si>
    <t>CSS Clase 13.1: Resolución ejercicios Icomoon</t>
  </si>
  <si>
    <t>CSS Clase 14: El modelo de caja</t>
  </si>
  <si>
    <t>CSS Clase 14.1: Ejercicios modelo de cajas</t>
  </si>
  <si>
    <t>CSS Clase 15: Manipulación de imágenes en CSS I</t>
  </si>
  <si>
    <t>CSS Clase 16: Manipulación de imágenes en CSS II y ejercicios</t>
  </si>
  <si>
    <t>CSS Clase 16.1: Ejercicios background e imágenes en CSS</t>
  </si>
  <si>
    <t>CSS Clase 17: Posicionamiento I</t>
  </si>
  <si>
    <t>CSS Clase 18: Posicionamiento II</t>
  </si>
  <si>
    <t>CSS Clase 19: Ejercicios de posicionamiento básico</t>
  </si>
  <si>
    <t>CSS Clase 20: Flexbox</t>
  </si>
  <si>
    <t>CSS Clase 21: Ejercicios sobre posicionamiento Flex</t>
  </si>
  <si>
    <t>CSS – Clase 22: Relación II de ejercicios con Flexbox</t>
  </si>
  <si>
    <t>CSS – Clase 22.1: Resolución de ejercicios de posicionamiento Flexbox II</t>
  </si>
  <si>
    <t>CSS – Clase 23: Posicionamiento Grid Capítulo 1</t>
  </si>
  <si>
    <t>CSS – Clase 24: Posicionamiento Grid Capítulo 2</t>
  </si>
  <si>
    <t>CSS – Clase 25: Ejercicios de posicionamiento GRID Relación 1</t>
  </si>
  <si>
    <t>CSS – Clase 26a: CSS Grid Relación 2 – Ejercicio 1</t>
  </si>
  <si>
    <t>CSS – Clase 26b: CSS Grid Relación 2 – Ejercicio 2</t>
  </si>
  <si>
    <t>CSS – Clase 27a: Resolución de tablas con estilo</t>
  </si>
  <si>
    <t>CSS – Clase 27b: Resolución de listas con estilo</t>
  </si>
  <si>
    <t>CSS Clase 27-2: Tareas de alumnos y feedback</t>
  </si>
  <si>
    <t>CSS – Clase 28: Pseudoclases de Interactividad</t>
  </si>
  <si>
    <t>CSS – Clase 29: Degradados, Sombras y efectos</t>
  </si>
  <si>
    <t>CSS – Clase 30: Resolución de menú únicamente con CSS y de Sombras en texto e imágenes</t>
  </si>
  <si>
    <t>CSS – Clase 31: Responsive Web Design</t>
  </si>
  <si>
    <t>CSS – Clase 32: Variables en CSS</t>
  </si>
  <si>
    <t>CSS – Clase 33: Transformaciones CSS</t>
  </si>
  <si>
    <t>CSS – Clase 34: Animaciones en CSS</t>
  </si>
  <si>
    <t>CSS Actualización Template con Vite + Sass 2025</t>
  </si>
  <si>
    <t>CSS – Clase 35: Preprocesadores en CSS (SASS)</t>
  </si>
  <si>
    <t>CSS – Clase 36: SASS a fondo y estructura de ficheros</t>
  </si>
  <si>
    <t>CSS Clase 37: Estrategias responsive con Sass</t>
  </si>
  <si>
    <t>CSS Frameworks 01 Tailwind</t>
  </si>
  <si>
    <t>CSS Frameworks 02 BootStrap</t>
  </si>
  <si>
    <t>CSS Frameworks 03 BulmaCSS</t>
  </si>
  <si>
    <t>CSS Proyectos 01: Figma para desarrolladores</t>
  </si>
  <si>
    <t>CSS Proyectos 02: Header Business Agency</t>
  </si>
  <si>
    <t>CSS Proyectos 03: Creative Agency</t>
  </si>
  <si>
    <t>CSS Proyectos 04: Coworking Space</t>
  </si>
  <si>
    <t>CSS Proyecto 05: NFT Marketplace</t>
  </si>
  <si>
    <t>CSS Proyectos 06: Grocery Store</t>
  </si>
  <si>
    <t>CSS Proyectos 07: Elearning Landing Page Responsive</t>
  </si>
  <si>
    <t>CSS Proyectos 08: Elearning Landing Page Responsive Parte 2</t>
  </si>
  <si>
    <t>FRONTEND - JavaScript</t>
  </si>
  <si>
    <t>JS Clase 01 – Introducción a JS</t>
  </si>
  <si>
    <t>JS Clase 02 – Conceptos básicos del lenguaje</t>
  </si>
  <si>
    <t>JS Clase 03 – Operadores y funciones en JS</t>
  </si>
  <si>
    <t>JS Clase 04 – Funciones en Javascript</t>
  </si>
  <si>
    <t>JS Clase 05 – Sentencias de control de flujo</t>
  </si>
  <si>
    <t>JS Clase 06 – Clousures Hoisting y Scope</t>
  </si>
  <si>
    <t>JS Clase 07 – Resolución de ejercicios 1</t>
  </si>
  <si>
    <t>JS Clase 08 – Introducción a Arrays y Objetos</t>
  </si>
  <si>
    <t>JS Clase 09 – Arrow Functions</t>
  </si>
  <si>
    <t>JS Clase 10 – Funciones útiles para Arrays 1</t>
  </si>
  <si>
    <t>JS Clase 11 – Funciones útiles para Arrays 2</t>
  </si>
  <si>
    <t>JS Clase 12 – Funciones útiles para Arrays 3</t>
  </si>
  <si>
    <t>JS Clase 13 – Ejercicios con Arrays 1</t>
  </si>
  <si>
    <t>JS Clase 15 – Resolución de ejercicios 2 de arrays</t>
  </si>
  <si>
    <t>JS Clase 14 – Prototipos</t>
  </si>
  <si>
    <t>JS Clase 16 – Clases en Javascript</t>
  </si>
  <si>
    <t>JS Clase 17 – Ejercicios con Clases en Javascript</t>
  </si>
  <si>
    <t>JS Clase 18 – Ejercicios con Clases 2</t>
  </si>
  <si>
    <t>JS Clase 19 – Módulos en ECMAScript 6 y primer proyecto con Vite</t>
  </si>
  <si>
    <t>JS Clase 20 – Manipulando el DOM: Selectores</t>
  </si>
  <si>
    <t>JS Clase 21 – Creación de elementos del DOM</t>
  </si>
  <si>
    <t>JS Clase 22 – Gestión de atributos del DOM</t>
  </si>
  <si>
    <t>JS Clase 23 – API de classList y dataset</t>
  </si>
  <si>
    <t>JS Clase 24 – Insertar y movernos por el DOM</t>
  </si>
  <si>
    <t>JS Clase 25 – Corrección de ejercicios de Selectores en JS</t>
  </si>
  <si>
    <t>JS Clase 26 – Gestión de eventos en JS</t>
  </si>
  <si>
    <t>JS Clase 27 – Tipos de eventos más relevantes</t>
  </si>
  <si>
    <t>JS Clase 27-2 Tipos de eventos más relevantes (ejercicios)</t>
  </si>
  <si>
    <t>JS Clase 28 – Corrección de ejercicios de Selectores en JS II</t>
  </si>
  <si>
    <t>JS Clase 29 – Emisión y propagación de eventos</t>
  </si>
  <si>
    <t>JS Clase 30 – Resolución de ejercicios sobre eventos</t>
  </si>
  <si>
    <t>JS Clase 31 – Resolución de ejercicios sobre eventos II</t>
  </si>
  <si>
    <t>JS Clase 32 – Resolución de ejercicios sobre eventos III: Ejercicio de buscar parejas</t>
  </si>
  <si>
    <t>JS Clase 33 – LocalStorage, SessionStorage y Cookies</t>
  </si>
  <si>
    <t>JS Clase 34 – Nuestro primer proyecto con Vite</t>
  </si>
  <si>
    <t>JS Clase 35 – Terminando nuestro primer proyecto con Vite</t>
  </si>
  <si>
    <t>JS Clase 36 – Guardando en LocaStorage nuestro juego</t>
  </si>
  <si>
    <t>JS Clase 37 – Promesas y asincronía</t>
  </si>
  <si>
    <t>JS Clase 38 – Asincronía, funciones de carrera y argumentos</t>
  </si>
  <si>
    <t>JS Clase 39 – Nuestro primer Fetch, async y await</t>
  </si>
  <si>
    <t>BACKEND - SQL</t>
  </si>
  <si>
    <t>SQL 2025 – Clase 01a – Introducción a MySQL y MySQL Workbench</t>
  </si>
  <si>
    <t>SQL 2025 – Clase 01b – MYSQL Workbench instalación</t>
  </si>
  <si>
    <t>SQL 2025 – Clase 02 Creación y Manipulación de Tablas en SQL</t>
  </si>
  <si>
    <t>SQL 2025 – Clase 03a – Consultas y Filtros Básicos en SQL Parte 1</t>
  </si>
  <si>
    <t>SQL 2025 – Clase 03b – Consultas y Filtros Básicos en SQL Parte 2</t>
  </si>
  <si>
    <t>SQL 2025 – Clase 04a – Funciones Agregadas y Agrupación Conceptos</t>
  </si>
  <si>
    <t>SQL 2025 – Clase 04b – Funciones Agregadas y Agrupación Ejercicios Fundamentales</t>
  </si>
  <si>
    <t>SQL 2025 – Clase 04c – Funciones Agregadas y Agrupación Ejercicios Avanzados</t>
  </si>
  <si>
    <t>SQL 2025 – Clase 5 – Relaciones entre Tablas (JOINs)</t>
  </si>
  <si>
    <t>SQL 2025 – Clase 6 – Subconsultas y Consultas Avanzadas</t>
  </si>
  <si>
    <t>SQL 2025 – Clase 7a: Optimización y Buenas Prácticas – Conceptos</t>
  </si>
  <si>
    <t>SQL 2025 – Clase 7b: Optimización y Buenas Prácticas – Ejercicios</t>
  </si>
  <si>
    <t>SQL 2025 – Clase 08 – Proyecto Final Sistema de Gestión de Biblioteca</t>
  </si>
  <si>
    <t>Weeks/Year</t>
  </si>
  <si>
    <t>CLP/AUD</t>
  </si>
  <si>
    <t>Weeks/Month</t>
  </si>
  <si>
    <t>Costos Fijos</t>
  </si>
  <si>
    <t>Week</t>
  </si>
  <si>
    <t>Month</t>
  </si>
  <si>
    <t>Year</t>
  </si>
  <si>
    <t>Dias Mes</t>
  </si>
  <si>
    <t>SubClasificacion</t>
  </si>
  <si>
    <t>Presupuesto Mensual</t>
  </si>
  <si>
    <t>Depto</t>
  </si>
  <si>
    <t>Costo Fijo - Depto</t>
  </si>
  <si>
    <t>Trimestral</t>
  </si>
  <si>
    <t>Costo Fijo - Otros</t>
  </si>
  <si>
    <t>Bupa</t>
  </si>
  <si>
    <t>SubTotal</t>
  </si>
  <si>
    <t>Telstra</t>
  </si>
  <si>
    <t>Costo Variable - Comidas</t>
  </si>
  <si>
    <t>Costo Variable - Otros</t>
  </si>
  <si>
    <t>SubTotal Fijos</t>
  </si>
  <si>
    <t>Otros</t>
  </si>
  <si>
    <t>Costos Variables</t>
  </si>
  <si>
    <t>Costo Variable - Transporte</t>
  </si>
  <si>
    <t>Uber</t>
  </si>
  <si>
    <t>Costo Variable - Auto</t>
  </si>
  <si>
    <t>Seguro</t>
  </si>
  <si>
    <t>Semestral</t>
  </si>
  <si>
    <t>Costo Variable - Gasto Pega</t>
  </si>
  <si>
    <t>Comida + Super</t>
  </si>
  <si>
    <t>Parking - Otros Pega</t>
  </si>
  <si>
    <t>Costo Variable - Personales</t>
  </si>
  <si>
    <t>Transporte</t>
  </si>
  <si>
    <t>Libros - Cursos</t>
  </si>
  <si>
    <t>Presupuesto Total x Mes</t>
  </si>
  <si>
    <t>Seguro Auto</t>
  </si>
  <si>
    <t>Presupuesto - Variable</t>
  </si>
  <si>
    <t>Estacionamiento</t>
  </si>
  <si>
    <t>Peajes/Linkt</t>
  </si>
  <si>
    <t>Trabajo</t>
  </si>
  <si>
    <t>Uber a Pega</t>
  </si>
  <si>
    <t>Tren + Transporte</t>
  </si>
  <si>
    <t>Parking</t>
  </si>
  <si>
    <t>Personales</t>
  </si>
  <si>
    <t>Ropa</t>
  </si>
  <si>
    <t>Regalos</t>
  </si>
  <si>
    <t>CLP</t>
  </si>
  <si>
    <t>Costos Chile</t>
  </si>
  <si>
    <t>AUD</t>
  </si>
  <si>
    <t>Total AUD</t>
  </si>
  <si>
    <t>Savings</t>
  </si>
  <si>
    <t>Income</t>
  </si>
  <si>
    <t>Dif</t>
  </si>
  <si>
    <t>Total Mes</t>
  </si>
  <si>
    <t>Real</t>
  </si>
  <si>
    <t>Acumulado</t>
  </si>
  <si>
    <t>Max Dia</t>
  </si>
  <si>
    <t>Luz - Plan</t>
  </si>
  <si>
    <t>Internet - Plan</t>
  </si>
  <si>
    <t>Luz - Real</t>
  </si>
  <si>
    <t>Internet - Real</t>
  </si>
  <si>
    <t>Comidas - Plan</t>
  </si>
  <si>
    <t>Comidas  Real</t>
  </si>
  <si>
    <t>Super - Plan</t>
  </si>
  <si>
    <t>Super - Real</t>
  </si>
  <si>
    <t>Otros - Plan</t>
  </si>
  <si>
    <t>Otros - Real</t>
  </si>
  <si>
    <t>Auto - Plan</t>
  </si>
  <si>
    <t>Auto - Real</t>
  </si>
  <si>
    <t>Personales - Plan</t>
  </si>
  <si>
    <t>Personales - Real</t>
  </si>
  <si>
    <t>Pega - Plan</t>
  </si>
  <si>
    <t>Pega - Real</t>
  </si>
  <si>
    <t>Transporte - Plan</t>
  </si>
  <si>
    <t>Transporte - Real</t>
  </si>
  <si>
    <t>Total Costo Variable - Plan</t>
  </si>
  <si>
    <t>Total Costo Variable - Real</t>
  </si>
  <si>
    <t>Cumplimiento</t>
  </si>
  <si>
    <t>Plan - MTD</t>
  </si>
  <si>
    <t>Diff Accumulado</t>
  </si>
  <si>
    <t>Remanente</t>
  </si>
  <si>
    <t>Luz - Internet</t>
  </si>
  <si>
    <t xml:space="preserve">Transporte </t>
  </si>
  <si>
    <t>Pega</t>
  </si>
  <si>
    <t>Tren + GoCard + Scooter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</si>
</sst>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0.0"/>
  </numFmts>
  <fonts count="21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rgb="FF00FFFF"/>
      <name val="Arial"/>
      <scheme val="minor"/>
    </font>
    <font/>
    <font>
      <b/>
      <sz val="7.0"/>
      <color theme="1"/>
      <name val="Arial"/>
      <scheme val="minor"/>
    </font>
    <font>
      <sz val="7.0"/>
      <color theme="1"/>
      <name val="Arial"/>
      <scheme val="minor"/>
    </font>
    <font>
      <b/>
      <color theme="1"/>
      <name val="Arial"/>
      <scheme val="minor"/>
    </font>
    <font>
      <b/>
      <color theme="0"/>
      <name val="Arial"/>
      <scheme val="minor"/>
    </font>
    <font>
      <color theme="1"/>
      <name val="Arial"/>
    </font>
    <font>
      <b/>
      <color theme="1"/>
      <name val="Arial"/>
    </font>
    <font>
      <i/>
      <color rgb="FFFF0000"/>
      <name val="Arial"/>
      <scheme val="minor"/>
    </font>
    <font>
      <i/>
      <color theme="1"/>
      <name val="Arial"/>
    </font>
    <font>
      <i/>
      <color theme="1"/>
      <name val="Arial"/>
      <scheme val="minor"/>
    </font>
    <font>
      <b/>
      <i/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&quot;Aptos Narrow&quot;"/>
    </font>
    <font>
      <b/>
      <i/>
      <sz val="11.0"/>
      <color rgb="FF000000"/>
      <name val="&quot;Aptos Narrow&quot;"/>
    </font>
    <font>
      <sz val="11.0"/>
      <color rgb="FF000000"/>
      <name val="Arial"/>
    </font>
    <font>
      <b/>
      <sz val="11.0"/>
      <color rgb="FF000000"/>
      <name val="&quot;Aptos Narrow&quot;"/>
    </font>
    <font>
      <b/>
      <sz val="12.0"/>
      <color theme="1"/>
      <name val="Arial"/>
      <scheme val="minor"/>
    </font>
  </fonts>
  <fills count="31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980000"/>
        <bgColor rgb="FF980000"/>
      </patternFill>
    </fill>
    <fill>
      <patternFill patternType="solid">
        <fgColor rgb="FF4A86E8"/>
        <bgColor rgb="FF4A86E8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FFD966"/>
        <bgColor rgb="FFFFD966"/>
      </patternFill>
    </fill>
    <fill>
      <patternFill patternType="solid">
        <fgColor rgb="FF674EA7"/>
        <bgColor rgb="FF674EA7"/>
      </patternFill>
    </fill>
    <fill>
      <patternFill patternType="solid">
        <fgColor rgb="FF356854"/>
        <bgColor rgb="FF356854"/>
      </patternFill>
    </fill>
    <fill>
      <patternFill patternType="solid">
        <fgColor rgb="FFC9DAF8"/>
        <bgColor rgb="FFC9DAF8"/>
      </patternFill>
    </fill>
    <fill>
      <patternFill patternType="solid">
        <fgColor rgb="FF45818E"/>
        <bgColor rgb="FF45818E"/>
      </patternFill>
    </fill>
    <fill>
      <patternFill patternType="solid">
        <fgColor rgb="FF073763"/>
        <bgColor rgb="FF073763"/>
      </patternFill>
    </fill>
    <fill>
      <patternFill patternType="solid">
        <fgColor rgb="FF57BB8A"/>
        <bgColor rgb="FF57BB8A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A2C4C9"/>
        <bgColor rgb="FFA2C4C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AE9F8"/>
        <bgColor rgb="FFDAE9F8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3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1" fillId="3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/>
    </xf>
    <xf borderId="1" fillId="5" fontId="1" numFmtId="0" xfId="0" applyAlignment="1" applyBorder="1" applyFill="1" applyFon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1" fillId="7" fontId="1" numFmtId="0" xfId="0" applyAlignment="1" applyBorder="1" applyFill="1" applyFont="1">
      <alignment horizontal="center" readingOrder="0"/>
    </xf>
    <xf borderId="1" fillId="8" fontId="2" numFmtId="0" xfId="0" applyAlignment="1" applyBorder="1" applyFill="1" applyFont="1">
      <alignment horizontal="center" readingOrder="0"/>
    </xf>
    <xf borderId="1" fillId="9" fontId="3" numFmtId="164" xfId="0" applyAlignment="1" applyBorder="1" applyFill="1" applyFont="1" applyNumberFormat="1">
      <alignment horizontal="center"/>
    </xf>
    <xf borderId="1" fillId="4" fontId="2" numFmtId="16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vertical="center"/>
    </xf>
    <xf borderId="1" fillId="10" fontId="1" numFmtId="9" xfId="0" applyAlignment="1" applyBorder="1" applyFill="1" applyFont="1" applyNumberFormat="1">
      <alignment horizontal="center"/>
    </xf>
    <xf borderId="2" fillId="4" fontId="2" numFmtId="0" xfId="0" applyAlignment="1" applyBorder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1" fillId="11" fontId="2" numFmtId="0" xfId="0" applyAlignment="1" applyBorder="1" applyFill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12" fontId="2" numFmtId="0" xfId="0" applyAlignment="1" applyFill="1" applyFont="1">
      <alignment horizontal="center" readingOrder="0"/>
    </xf>
    <xf borderId="0" fillId="12" fontId="2" numFmtId="0" xfId="0" applyAlignment="1" applyFont="1">
      <alignment horizontal="center" readingOrder="0" vertical="center"/>
    </xf>
    <xf borderId="0" fillId="13" fontId="2" numFmtId="0" xfId="0" applyAlignment="1" applyFill="1" applyFont="1">
      <alignment horizontal="center" readingOrder="0" vertical="center"/>
    </xf>
    <xf borderId="1" fillId="14" fontId="2" numFmtId="0" xfId="0" applyAlignment="1" applyBorder="1" applyFill="1" applyFont="1">
      <alignment horizontal="center" readingOrder="0"/>
    </xf>
    <xf borderId="1" fillId="15" fontId="1" numFmtId="1" xfId="0" applyAlignment="1" applyBorder="1" applyFill="1" applyFont="1" applyNumberFormat="1">
      <alignment horizontal="center"/>
    </xf>
    <xf borderId="1" fillId="15" fontId="5" numFmtId="0" xfId="0" applyAlignment="1" applyBorder="1" applyFont="1">
      <alignment horizontal="center" readingOrder="0" vertical="center"/>
    </xf>
    <xf borderId="1" fillId="0" fontId="1" numFmtId="1" xfId="0" applyAlignment="1" applyBorder="1" applyFont="1" applyNumberFormat="1">
      <alignment horizontal="center"/>
    </xf>
    <xf borderId="1" fillId="15" fontId="1" numFmtId="9" xfId="0" applyAlignment="1" applyBorder="1" applyFont="1" applyNumberFormat="1">
      <alignment horizontal="center" readingOrder="0"/>
    </xf>
    <xf borderId="1" fillId="0" fontId="1" numFmtId="1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15" fontId="1" numFmtId="1" xfId="0" applyAlignment="1" applyBorder="1" applyFont="1" applyNumberFormat="1">
      <alignment horizontal="center" readingOrder="0"/>
    </xf>
    <xf borderId="1" fillId="0" fontId="1" numFmtId="1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16" fontId="1" numFmtId="1" xfId="0" applyAlignment="1" applyBorder="1" applyFill="1" applyFont="1" applyNumberFormat="1">
      <alignment horizontal="center"/>
    </xf>
    <xf borderId="1" fillId="0" fontId="5" numFmtId="0" xfId="0" applyAlignment="1" applyBorder="1" applyFont="1">
      <alignment horizontal="center" readingOrder="0" vertical="center"/>
    </xf>
    <xf borderId="1" fillId="16" fontId="1" numFmtId="9" xfId="0" applyAlignment="1" applyBorder="1" applyFont="1" applyNumberFormat="1">
      <alignment horizontal="center" readingOrder="0"/>
    </xf>
    <xf borderId="0" fillId="17" fontId="1" numFmtId="0" xfId="0" applyAlignment="1" applyFill="1" applyFont="1">
      <alignment horizontal="center"/>
    </xf>
    <xf borderId="1" fillId="18" fontId="1" numFmtId="9" xfId="0" applyAlignment="1" applyBorder="1" applyFill="1" applyFont="1" applyNumberFormat="1">
      <alignment horizontal="center" readingOrder="0"/>
    </xf>
    <xf borderId="1" fillId="0" fontId="5" numFmtId="0" xfId="0" applyAlignment="1" applyBorder="1" applyFont="1">
      <alignment horizontal="center" vertical="center"/>
    </xf>
    <xf borderId="1" fillId="17" fontId="1" numFmtId="1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/>
    </xf>
    <xf borderId="1" fillId="0" fontId="7" numFmtId="1" xfId="0" applyAlignment="1" applyBorder="1" applyFont="1" applyNumberFormat="1">
      <alignment horizontal="center" readingOrder="0"/>
    </xf>
    <xf borderId="0" fillId="0" fontId="1" numFmtId="0" xfId="0" applyAlignment="1" applyFont="1">
      <alignment readingOrder="0"/>
    </xf>
    <xf borderId="2" fillId="4" fontId="8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/>
    </xf>
    <xf borderId="0" fillId="19" fontId="2" numFmtId="0" xfId="0" applyAlignment="1" applyFill="1" applyFont="1">
      <alignment horizontal="center" readingOrder="0"/>
    </xf>
    <xf borderId="1" fillId="10" fontId="9" numFmtId="0" xfId="0" applyAlignment="1" applyBorder="1" applyFont="1">
      <alignment horizontal="center" readingOrder="0" vertical="bottom"/>
    </xf>
    <xf borderId="1" fillId="10" fontId="10" numFmtId="164" xfId="0" applyAlignment="1" applyBorder="1" applyFont="1" applyNumberFormat="1">
      <alignment horizontal="center" readingOrder="0" vertical="bottom"/>
    </xf>
    <xf borderId="1" fillId="0" fontId="9" numFmtId="164" xfId="0" applyAlignment="1" applyBorder="1" applyFont="1" applyNumberFormat="1">
      <alignment horizontal="center" readingOrder="0" vertical="bottom"/>
    </xf>
    <xf borderId="0" fillId="19" fontId="2" numFmtId="0" xfId="0" applyAlignment="1" applyFont="1">
      <alignment readingOrder="0"/>
    </xf>
    <xf borderId="0" fillId="19" fontId="2" numFmtId="0" xfId="0" applyFont="1"/>
    <xf borderId="1" fillId="0" fontId="9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vertical="bottom"/>
    </xf>
    <xf borderId="1" fillId="20" fontId="9" numFmtId="164" xfId="0" applyAlignment="1" applyBorder="1" applyFill="1" applyFont="1" applyNumberFormat="1">
      <alignment horizontal="center" readingOrder="0" vertical="bottom"/>
    </xf>
    <xf borderId="1" fillId="20" fontId="1" numFmtId="0" xfId="0" applyAlignment="1" applyBorder="1" applyFont="1">
      <alignment horizontal="center" readingOrder="0"/>
    </xf>
    <xf borderId="5" fillId="0" fontId="9" numFmtId="0" xfId="0" applyAlignment="1" applyBorder="1" applyFont="1">
      <alignment horizontal="center" readingOrder="0" vertical="center"/>
    </xf>
    <xf borderId="6" fillId="0" fontId="4" numFmtId="0" xfId="0" applyBorder="1" applyFont="1"/>
    <xf borderId="1" fillId="15" fontId="9" numFmtId="164" xfId="0" applyAlignment="1" applyBorder="1" applyFont="1" applyNumberFormat="1">
      <alignment horizontal="center" readingOrder="0" vertical="bottom"/>
    </xf>
    <xf borderId="1" fillId="15" fontId="1" numFmtId="0" xfId="0" applyAlignment="1" applyBorder="1" applyFont="1">
      <alignment horizontal="center" readingOrder="0"/>
    </xf>
    <xf borderId="7" fillId="0" fontId="4" numFmtId="0" xfId="0" applyBorder="1" applyFont="1"/>
    <xf borderId="1" fillId="2" fontId="9" numFmtId="164" xfId="0" applyAlignment="1" applyBorder="1" applyFont="1" applyNumberFormat="1">
      <alignment horizontal="center" readingOrder="0" vertical="bottom"/>
    </xf>
    <xf borderId="1" fillId="2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/>
    </xf>
    <xf borderId="1" fillId="21" fontId="9" numFmtId="164" xfId="0" applyAlignment="1" applyBorder="1" applyFill="1" applyFont="1" applyNumberFormat="1">
      <alignment horizontal="center" readingOrder="0" vertical="bottom"/>
    </xf>
    <xf borderId="1" fillId="21" fontId="1" numFmtId="0" xfId="0" applyAlignment="1" applyBorder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1" numFmtId="164" xfId="0" applyAlignment="1" applyFont="1" applyNumberFormat="1">
      <alignment horizontal="center"/>
    </xf>
    <xf borderId="1" fillId="22" fontId="9" numFmtId="164" xfId="0" applyAlignment="1" applyBorder="1" applyFill="1" applyFont="1" applyNumberFormat="1">
      <alignment horizontal="center" readingOrder="0" vertical="bottom"/>
    </xf>
    <xf borderId="1" fillId="22" fontId="1" numFmtId="0" xfId="0" applyAlignment="1" applyBorder="1" applyFont="1">
      <alignment horizontal="center" readingOrder="0"/>
    </xf>
    <xf borderId="1" fillId="23" fontId="12" numFmtId="164" xfId="0" applyAlignment="1" applyBorder="1" applyFill="1" applyFont="1" applyNumberFormat="1">
      <alignment horizontal="center" readingOrder="0" vertical="bottom"/>
    </xf>
    <xf borderId="1" fillId="23" fontId="13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24" fontId="1" numFmtId="0" xfId="0" applyAlignment="1" applyFill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0" fillId="0" fontId="1" numFmtId="2" xfId="0" applyAlignment="1" applyFont="1" applyNumberFormat="1">
      <alignment horizontal="center"/>
    </xf>
    <xf borderId="0" fillId="0" fontId="1" numFmtId="10" xfId="0" applyAlignment="1" applyFont="1" applyNumberFormat="1">
      <alignment horizontal="center" readingOrder="0"/>
    </xf>
    <xf borderId="12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2" fillId="25" fontId="14" numFmtId="165" xfId="0" applyAlignment="1" applyBorder="1" applyFill="1" applyFont="1" applyNumberFormat="1">
      <alignment horizontal="center"/>
    </xf>
    <xf borderId="4" fillId="25" fontId="14" numFmtId="165" xfId="0" applyAlignment="1" applyBorder="1" applyFont="1" applyNumberFormat="1">
      <alignment horizontal="center"/>
    </xf>
    <xf borderId="0" fillId="0" fontId="14" numFmtId="0" xfId="0" applyAlignment="1" applyFont="1">
      <alignment horizontal="center" readingOrder="0"/>
    </xf>
    <xf borderId="0" fillId="19" fontId="1" numFmtId="0" xfId="0" applyAlignment="1" applyFont="1">
      <alignment horizontal="center" readingOrder="0"/>
    </xf>
    <xf borderId="5" fillId="0" fontId="1" numFmtId="0" xfId="0" applyAlignment="1" applyBorder="1" applyFont="1">
      <alignment horizontal="center" readingOrder="0" vertical="center"/>
    </xf>
    <xf borderId="14" fillId="0" fontId="9" numFmtId="0" xfId="0" applyAlignment="1" applyBorder="1" applyFont="1">
      <alignment horizontal="center" readingOrder="0" vertical="bottom"/>
    </xf>
    <xf borderId="14" fillId="0" fontId="1" numFmtId="165" xfId="0" applyAlignment="1" applyBorder="1" applyFont="1" applyNumberFormat="1">
      <alignment horizontal="center"/>
    </xf>
    <xf borderId="9" fillId="0" fontId="1" numFmtId="165" xfId="0" applyAlignment="1" applyBorder="1" applyFont="1" applyNumberFormat="1">
      <alignment horizontal="center"/>
    </xf>
    <xf borderId="14" fillId="0" fontId="1" numFmtId="2" xfId="0" applyAlignment="1" applyBorder="1" applyFont="1" applyNumberFormat="1">
      <alignment horizontal="center"/>
    </xf>
    <xf borderId="9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 readingOrder="0" vertical="center"/>
    </xf>
    <xf borderId="14" fillId="0" fontId="1" numFmtId="2" xfId="0" applyAlignment="1" applyBorder="1" applyFont="1" applyNumberFormat="1">
      <alignment horizontal="center" vertical="center"/>
    </xf>
    <xf borderId="8" fillId="0" fontId="1" numFmtId="0" xfId="0" applyAlignment="1" applyBorder="1" applyFont="1">
      <alignment horizontal="center"/>
    </xf>
    <xf borderId="9" fillId="19" fontId="1" numFmtId="0" xfId="0" applyAlignment="1" applyBorder="1" applyFont="1">
      <alignment horizontal="center" readingOrder="0"/>
    </xf>
    <xf borderId="14" fillId="0" fontId="1" numFmtId="0" xfId="0" applyAlignment="1" applyBorder="1" applyFont="1">
      <alignment readingOrder="0"/>
    </xf>
    <xf borderId="9" fillId="0" fontId="1" numFmtId="2" xfId="0" applyAlignment="1" applyBorder="1" applyFont="1" applyNumberFormat="1">
      <alignment horizontal="center"/>
    </xf>
    <xf borderId="0" fillId="0" fontId="9" numFmtId="0" xfId="0" applyAlignment="1" applyFont="1">
      <alignment horizontal="center" readingOrder="0" vertical="bottom"/>
    </xf>
    <xf borderId="0" fillId="0" fontId="1" numFmtId="165" xfId="0" applyAlignment="1" applyFont="1" applyNumberFormat="1">
      <alignment horizontal="center"/>
    </xf>
    <xf borderId="11" fillId="0" fontId="1" numFmtId="165" xfId="0" applyAlignment="1" applyBorder="1" applyFont="1" applyNumberFormat="1">
      <alignment horizontal="center"/>
    </xf>
    <xf borderId="11" fillId="0" fontId="1" numFmtId="0" xfId="0" applyAlignment="1" applyBorder="1" applyFont="1">
      <alignment horizontal="center"/>
    </xf>
    <xf borderId="10" fillId="0" fontId="4" numFmtId="0" xfId="0" applyBorder="1" applyFont="1"/>
    <xf borderId="10" fillId="0" fontId="1" numFmtId="0" xfId="0" applyAlignment="1" applyBorder="1" applyFont="1">
      <alignment horizontal="center"/>
    </xf>
    <xf borderId="11" fillId="19" fontId="1" numFmtId="0" xfId="0" applyAlignment="1" applyBorder="1" applyFont="1">
      <alignment horizontal="center" readingOrder="0"/>
    </xf>
    <xf borderId="11" fillId="0" fontId="1" numFmtId="2" xfId="0" applyAlignment="1" applyBorder="1" applyFont="1" applyNumberFormat="1">
      <alignment horizontal="center"/>
    </xf>
    <xf borderId="12" fillId="0" fontId="4" numFmtId="0" xfId="0" applyBorder="1" applyFont="1"/>
    <xf borderId="15" fillId="0" fontId="4" numFmtId="0" xfId="0" applyBorder="1" applyFont="1"/>
    <xf borderId="12" fillId="0" fontId="1" numFmtId="0" xfId="0" applyAlignment="1" applyBorder="1" applyFont="1">
      <alignment horizontal="center"/>
    </xf>
    <xf borderId="13" fillId="19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readingOrder="0"/>
    </xf>
    <xf borderId="15" fillId="0" fontId="1" numFmtId="2" xfId="0" applyAlignment="1" applyBorder="1" applyFont="1" applyNumberFormat="1">
      <alignment horizontal="center"/>
    </xf>
    <xf borderId="13" fillId="0" fontId="1" numFmtId="2" xfId="0" applyAlignment="1" applyBorder="1" applyFont="1" applyNumberFormat="1">
      <alignment horizontal="center"/>
    </xf>
    <xf borderId="0" fillId="24" fontId="1" numFmtId="0" xfId="0" applyAlignment="1" applyFont="1">
      <alignment horizontal="center"/>
    </xf>
    <xf borderId="15" fillId="0" fontId="9" numFmtId="0" xfId="0" applyAlignment="1" applyBorder="1" applyFont="1">
      <alignment horizontal="center" readingOrder="0" vertical="bottom"/>
    </xf>
    <xf borderId="15" fillId="0" fontId="1" numFmtId="165" xfId="0" applyAlignment="1" applyBorder="1" applyFont="1" applyNumberFormat="1">
      <alignment horizontal="center"/>
    </xf>
    <xf borderId="13" fillId="0" fontId="1" numFmtId="165" xfId="0" applyAlignment="1" applyBorder="1" applyFont="1" applyNumberFormat="1">
      <alignment horizontal="center"/>
    </xf>
    <xf borderId="0" fillId="0" fontId="14" numFmtId="165" xfId="0" applyAlignment="1" applyFont="1" applyNumberFormat="1">
      <alignment horizontal="center"/>
    </xf>
    <xf borderId="14" fillId="0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 shrinkToFit="0" vertical="center" wrapText="1"/>
    </xf>
    <xf borderId="0" fillId="10" fontId="7" numFmtId="0" xfId="0" applyAlignment="1" applyFont="1">
      <alignment horizontal="center" readingOrder="0"/>
    </xf>
    <xf borderId="0" fillId="10" fontId="7" numFmtId="165" xfId="0" applyAlignment="1" applyFont="1" applyNumberFormat="1">
      <alignment horizontal="center"/>
    </xf>
    <xf borderId="0" fillId="0" fontId="1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/>
    </xf>
    <xf borderId="0" fillId="24" fontId="1" numFmtId="0" xfId="0" applyFont="1"/>
    <xf borderId="0" fillId="10" fontId="1" numFmtId="0" xfId="0" applyFont="1"/>
    <xf borderId="0" fillId="26" fontId="1" numFmtId="165" xfId="0" applyAlignment="1" applyFill="1" applyFont="1" applyNumberFormat="1">
      <alignment horizontal="center"/>
    </xf>
    <xf borderId="0" fillId="27" fontId="1" numFmtId="165" xfId="0" applyAlignment="1" applyFill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16" numFmtId="0" xfId="0" applyAlignment="1" applyFont="1">
      <alignment horizontal="center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horizontal="center" shrinkToFit="0" vertical="bottom" wrapText="0"/>
    </xf>
    <xf borderId="8" fillId="0" fontId="16" numFmtId="0" xfId="0" applyAlignment="1" applyBorder="1" applyFont="1">
      <alignment horizontal="center" readingOrder="0" shrinkToFit="0" vertical="bottom" wrapText="0"/>
    </xf>
    <xf borderId="9" fillId="0" fontId="16" numFmtId="0" xfId="0" applyAlignment="1" applyBorder="1" applyFont="1">
      <alignment horizontal="center" readingOrder="0" shrinkToFit="0" vertical="bottom" wrapText="0"/>
    </xf>
    <xf borderId="2" fillId="0" fontId="16" numFmtId="0" xfId="0" applyAlignment="1" applyBorder="1" applyFont="1">
      <alignment horizontal="center" readingOrder="0" shrinkToFit="0" vertical="bottom" wrapText="0"/>
    </xf>
    <xf borderId="4" fillId="0" fontId="16" numFmtId="0" xfId="0" applyAlignment="1" applyBorder="1" applyFont="1">
      <alignment horizontal="center" readingOrder="0" shrinkToFit="0" vertical="bottom" wrapText="0"/>
    </xf>
    <xf borderId="12" fillId="0" fontId="16" numFmtId="0" xfId="0" applyAlignment="1" applyBorder="1" applyFont="1">
      <alignment horizontal="center" readingOrder="0" shrinkToFit="0" vertical="bottom" wrapText="0"/>
    </xf>
    <xf borderId="13" fillId="0" fontId="16" numFmtId="0" xfId="0" applyAlignment="1" applyBorder="1" applyFont="1">
      <alignment horizontal="center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center" readingOrder="0" shrinkToFit="0" vertical="bottom" wrapText="0"/>
    </xf>
    <xf borderId="8" fillId="0" fontId="16" numFmtId="0" xfId="0" applyAlignment="1" applyBorder="1" applyFont="1">
      <alignment horizontal="center" shrinkToFit="0" vertical="bottom" wrapText="0"/>
    </xf>
    <xf borderId="14" fillId="0" fontId="16" numFmtId="0" xfId="0" applyAlignment="1" applyBorder="1" applyFont="1">
      <alignment horizontal="center" readingOrder="0" shrinkToFit="0" vertical="bottom" wrapText="0"/>
    </xf>
    <xf borderId="14" fillId="28" fontId="16" numFmtId="1" xfId="0" applyAlignment="1" applyBorder="1" applyFill="1" applyFont="1" applyNumberFormat="1">
      <alignment horizontal="center" readingOrder="0" shrinkToFit="0" vertical="bottom" wrapText="0"/>
    </xf>
    <xf borderId="14" fillId="0" fontId="16" numFmtId="1" xfId="0" applyAlignment="1" applyBorder="1" applyFont="1" applyNumberFormat="1">
      <alignment horizontal="center" readingOrder="0" shrinkToFit="0" vertical="bottom" wrapText="0"/>
    </xf>
    <xf borderId="9" fillId="0" fontId="16" numFmtId="1" xfId="0" applyAlignment="1" applyBorder="1" applyFont="1" applyNumberFormat="1">
      <alignment horizontal="center" readingOrder="0" shrinkToFit="0" vertical="bottom" wrapText="0"/>
    </xf>
    <xf borderId="0" fillId="10" fontId="1" numFmtId="0" xfId="0" applyAlignment="1" applyFont="1">
      <alignment horizontal="center" readingOrder="0"/>
    </xf>
    <xf borderId="10" fillId="0" fontId="16" numFmtId="0" xfId="0" applyAlignment="1" applyBorder="1" applyFont="1">
      <alignment horizontal="center" shrinkToFit="0" vertical="bottom" wrapText="0"/>
    </xf>
    <xf borderId="0" fillId="0" fontId="16" numFmtId="1" xfId="0" applyAlignment="1" applyFont="1" applyNumberFormat="1">
      <alignment horizontal="center" readingOrder="0" shrinkToFit="0" vertical="bottom" wrapText="0"/>
    </xf>
    <xf borderId="0" fillId="28" fontId="16" numFmtId="1" xfId="0" applyAlignment="1" applyFont="1" applyNumberFormat="1">
      <alignment horizontal="center" readingOrder="0" shrinkToFit="0" vertical="bottom" wrapText="0"/>
    </xf>
    <xf borderId="11" fillId="0" fontId="16" numFmtId="1" xfId="0" applyAlignment="1" applyBorder="1" applyFont="1" applyNumberFormat="1">
      <alignment horizontal="center" readingOrder="0" shrinkToFit="0" vertical="bottom" wrapText="0"/>
    </xf>
    <xf borderId="0" fillId="29" fontId="1" numFmtId="1" xfId="0" applyAlignment="1" applyFill="1" applyFont="1" applyNumberFormat="1">
      <alignment horizontal="center"/>
    </xf>
    <xf borderId="0" fillId="0" fontId="16" numFmtId="1" xfId="0" applyAlignment="1" applyFont="1" applyNumberFormat="1">
      <alignment horizontal="center" shrinkToFit="0" vertical="bottom" wrapText="0"/>
    </xf>
    <xf borderId="11" fillId="0" fontId="16" numFmtId="1" xfId="0" applyAlignment="1" applyBorder="1" applyFont="1" applyNumberFormat="1">
      <alignment horizontal="center" shrinkToFit="0" vertical="bottom" wrapText="0"/>
    </xf>
    <xf borderId="12" fillId="0" fontId="17" numFmtId="0" xfId="0" applyAlignment="1" applyBorder="1" applyFont="1">
      <alignment horizontal="center" readingOrder="0" shrinkToFit="0" vertical="bottom" wrapText="0"/>
    </xf>
    <xf borderId="15" fillId="0" fontId="17" numFmtId="0" xfId="0" applyAlignment="1" applyBorder="1" applyFont="1">
      <alignment horizontal="center" readingOrder="0" shrinkToFit="0" vertical="bottom" wrapText="0"/>
    </xf>
    <xf borderId="15" fillId="0" fontId="17" numFmtId="164" xfId="0" applyAlignment="1" applyBorder="1" applyFont="1" applyNumberFormat="1">
      <alignment horizontal="center" readingOrder="0" shrinkToFit="0" vertical="bottom" wrapText="0"/>
    </xf>
    <xf borderId="13" fillId="0" fontId="17" numFmtId="164" xfId="0" applyAlignment="1" applyBorder="1" applyFont="1" applyNumberFormat="1">
      <alignment horizontal="center" readingOrder="0" shrinkToFit="0" vertical="bottom" wrapText="0"/>
    </xf>
    <xf borderId="0" fillId="0" fontId="17" numFmtId="0" xfId="0" applyAlignment="1" applyFont="1">
      <alignment horizontal="center" shrinkToFit="0" vertical="bottom" wrapText="0"/>
    </xf>
    <xf borderId="0" fillId="5" fontId="1" numFmtId="0" xfId="0" applyAlignment="1" applyFont="1">
      <alignment horizontal="center" readingOrder="0"/>
    </xf>
    <xf borderId="0" fillId="29" fontId="1" numFmtId="0" xfId="0" applyAlignment="1" applyFont="1">
      <alignment horizontal="center"/>
    </xf>
    <xf borderId="0" fillId="0" fontId="1" numFmtId="0" xfId="0" applyFont="1"/>
    <xf borderId="14" fillId="28" fontId="16" numFmtId="0" xfId="0" applyAlignment="1" applyBorder="1" applyFont="1">
      <alignment horizontal="center" readingOrder="0" shrinkToFit="0" vertical="bottom" wrapText="0"/>
    </xf>
    <xf borderId="0" fillId="28" fontId="16" numFmtId="0" xfId="0" applyAlignment="1" applyFont="1">
      <alignment horizontal="center" readingOrder="0" shrinkToFit="0" vertical="bottom" wrapText="0"/>
    </xf>
    <xf borderId="11" fillId="0" fontId="16" numFmtId="0" xfId="0" applyAlignment="1" applyBorder="1" applyFont="1">
      <alignment horizontal="center" shrinkToFit="0" vertical="bottom" wrapText="0"/>
    </xf>
    <xf borderId="0" fillId="6" fontId="1" numFmtId="0" xfId="0" applyAlignment="1" applyFont="1">
      <alignment horizontal="center" readingOrder="0"/>
    </xf>
    <xf borderId="1" fillId="0" fontId="17" numFmtId="0" xfId="0" applyAlignment="1" applyBorder="1" applyFont="1">
      <alignment horizontal="center" readingOrder="0" shrinkToFit="0" vertical="bottom" wrapText="0"/>
    </xf>
    <xf borderId="4" fillId="0" fontId="17" numFmtId="0" xfId="0" applyAlignment="1" applyBorder="1" applyFont="1">
      <alignment horizontal="center" readingOrder="0" shrinkToFit="0" vertical="bottom" wrapText="0"/>
    </xf>
    <xf borderId="4" fillId="0" fontId="17" numFmtId="164" xfId="0" applyAlignment="1" applyBorder="1" applyFont="1" applyNumberFormat="1">
      <alignment horizontal="center" readingOrder="0" shrinkToFit="0" vertical="bottom" wrapText="0"/>
    </xf>
    <xf borderId="0" fillId="4" fontId="1" numFmtId="0" xfId="0" applyAlignment="1" applyFont="1">
      <alignment horizontal="center" readingOrder="0"/>
    </xf>
    <xf borderId="14" fillId="26" fontId="16" numFmtId="0" xfId="0" applyAlignment="1" applyBorder="1" applyFont="1">
      <alignment horizontal="center" readingOrder="0" shrinkToFit="0" vertical="bottom" wrapText="0"/>
    </xf>
    <xf borderId="0" fillId="7" fontId="1" numFmtId="0" xfId="0" applyAlignment="1" applyFont="1">
      <alignment horizontal="center" readingOrder="0"/>
    </xf>
    <xf borderId="0" fillId="26" fontId="16" numFmtId="0" xfId="0" applyAlignment="1" applyFont="1">
      <alignment horizontal="center" readingOrder="0" shrinkToFit="0" vertical="bottom" wrapText="0"/>
    </xf>
    <xf borderId="11" fillId="0" fontId="16" numFmtId="0" xfId="0" applyAlignment="1" applyBorder="1" applyFont="1">
      <alignment horizontal="center" readingOrder="0" shrinkToFit="0" vertical="bottom" wrapText="0"/>
    </xf>
    <xf borderId="0" fillId="0" fontId="16" numFmtId="0" xfId="0" applyAlignment="1" applyFont="1">
      <alignment horizontal="center" shrinkToFit="0" vertical="bottom" wrapText="0"/>
    </xf>
    <xf borderId="11" fillId="0" fontId="16" numFmtId="0" xfId="0" applyAlignment="1" applyBorder="1" applyFont="1">
      <alignment horizontal="center" shrinkToFit="0" vertical="bottom" wrapText="0"/>
    </xf>
    <xf borderId="0" fillId="26" fontId="18" numFmtId="0" xfId="0" applyAlignment="1" applyFont="1">
      <alignment horizontal="center" readingOrder="0" shrinkToFit="0" vertical="bottom" wrapText="0"/>
    </xf>
    <xf borderId="0" fillId="8" fontId="2" numFmtId="0" xfId="0" applyAlignment="1" applyFont="1">
      <alignment horizontal="center" readingOrder="0"/>
    </xf>
    <xf borderId="11" fillId="28" fontId="16" numFmtId="0" xfId="0" applyAlignment="1" applyBorder="1" applyFont="1">
      <alignment horizontal="center" readingOrder="0" shrinkToFit="0" vertical="bottom" wrapText="0"/>
    </xf>
    <xf borderId="11" fillId="28" fontId="18" numFmtId="0" xfId="0" applyAlignment="1" applyBorder="1" applyFont="1">
      <alignment horizontal="center" readingOrder="0" shrinkToFit="0" vertical="bottom" wrapText="0"/>
    </xf>
    <xf borderId="0" fillId="28" fontId="18" numFmtId="0" xfId="0" applyAlignment="1" applyFont="1">
      <alignment horizontal="center" readingOrder="0" shrinkToFit="0" vertical="bottom" wrapText="0"/>
    </xf>
    <xf borderId="14" fillId="0" fontId="16" numFmtId="1" xfId="0" applyAlignment="1" applyBorder="1" applyFont="1" applyNumberFormat="1">
      <alignment horizontal="center" shrinkToFit="0" vertical="bottom" wrapText="0"/>
    </xf>
    <xf borderId="10" fillId="0" fontId="17" numFmtId="0" xfId="0" applyAlignment="1" applyBorder="1" applyFont="1">
      <alignment horizontal="center" readingOrder="0" shrinkToFit="0" vertical="bottom" wrapText="0"/>
    </xf>
    <xf borderId="2" fillId="0" fontId="19" numFmtId="0" xfId="0" applyAlignment="1" applyBorder="1" applyFont="1">
      <alignment horizontal="center" readingOrder="0" shrinkToFit="0" vertical="bottom" wrapText="0"/>
    </xf>
    <xf borderId="3" fillId="0" fontId="19" numFmtId="164" xfId="0" applyAlignment="1" applyBorder="1" applyFont="1" applyNumberFormat="1">
      <alignment horizontal="center" readingOrder="0" shrinkToFit="0" vertical="bottom" wrapText="0"/>
    </xf>
    <xf borderId="0" fillId="0" fontId="16" numFmtId="3" xfId="0" applyAlignment="1" applyFont="1" applyNumberFormat="1">
      <alignment horizontal="center" readingOrder="0" shrinkToFit="0" vertical="bottom" wrapText="0"/>
    </xf>
    <xf borderId="0" fillId="0" fontId="16" numFmtId="164" xfId="0" applyAlignment="1" applyFont="1" applyNumberFormat="1">
      <alignment horizontal="center" readingOrder="0" shrinkToFit="0" vertical="bottom" wrapText="0"/>
    </xf>
    <xf borderId="2" fillId="0" fontId="17" numFmtId="0" xfId="0" applyAlignment="1" applyBorder="1" applyFont="1">
      <alignment horizontal="center" readingOrder="0" shrinkToFit="0" vertical="bottom" wrapText="0"/>
    </xf>
    <xf borderId="3" fillId="0" fontId="17" numFmtId="164" xfId="0" applyAlignment="1" applyBorder="1" applyFont="1" applyNumberFormat="1">
      <alignment horizontal="center" readingOrder="0" shrinkToFit="0" vertical="bottom" wrapText="0"/>
    </xf>
    <xf borderId="0" fillId="0" fontId="18" numFmtId="0" xfId="0" applyAlignment="1" applyFont="1">
      <alignment horizontal="center" readingOrder="0" shrinkToFit="0" vertical="bottom" wrapText="0"/>
    </xf>
    <xf borderId="0" fillId="0" fontId="16" numFmtId="164" xfId="0" applyAlignment="1" applyFont="1" applyNumberFormat="1">
      <alignment horizontal="center" shrinkToFit="0" vertical="bottom" wrapText="0"/>
    </xf>
    <xf borderId="14" fillId="0" fontId="16" numFmtId="164" xfId="0" applyAlignment="1" applyBorder="1" applyFont="1" applyNumberFormat="1">
      <alignment horizontal="center" shrinkToFit="0" vertical="bottom" wrapText="0"/>
    </xf>
    <xf borderId="9" fillId="0" fontId="16" numFmtId="164" xfId="0" applyAlignment="1" applyBorder="1" applyFont="1" applyNumberFormat="1">
      <alignment horizontal="center" shrinkToFit="0" vertical="bottom" wrapText="0"/>
    </xf>
    <xf borderId="10" fillId="0" fontId="16" numFmtId="0" xfId="0" applyAlignment="1" applyBorder="1" applyFont="1">
      <alignment horizontal="center" readingOrder="0" shrinkToFit="0" vertical="bottom" wrapText="0"/>
    </xf>
    <xf borderId="0" fillId="28" fontId="18" numFmtId="164" xfId="0" applyAlignment="1" applyFont="1" applyNumberFormat="1">
      <alignment horizontal="center" readingOrder="0" shrinkToFit="0" vertical="bottom" wrapText="0"/>
    </xf>
    <xf borderId="11" fillId="0" fontId="16" numFmtId="164" xfId="0" applyAlignment="1" applyBorder="1" applyFont="1" applyNumberFormat="1">
      <alignment horizontal="center" readingOrder="0" shrinkToFit="0" vertical="bottom" wrapText="0"/>
    </xf>
    <xf borderId="12" fillId="0" fontId="19" numFmtId="0" xfId="0" applyAlignment="1" applyBorder="1" applyFont="1">
      <alignment horizontal="center" readingOrder="0" shrinkToFit="0" vertical="bottom" wrapText="0"/>
    </xf>
    <xf borderId="1" fillId="0" fontId="19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/>
    </xf>
    <xf borderId="5" fillId="0" fontId="20" numFmtId="0" xfId="0" applyAlignment="1" applyBorder="1" applyFont="1">
      <alignment readingOrder="0" textRotation="90" vertical="center"/>
    </xf>
    <xf borderId="1" fillId="4" fontId="2" numFmtId="1" xfId="0" applyAlignment="1" applyBorder="1" applyFont="1" applyNumberFormat="1">
      <alignment horizontal="center"/>
    </xf>
    <xf borderId="1" fillId="6" fontId="2" numFmtId="0" xfId="0" applyAlignment="1" applyBorder="1" applyFont="1">
      <alignment horizontal="center" readingOrder="0"/>
    </xf>
    <xf borderId="1" fillId="6" fontId="2" numFmtId="1" xfId="0" applyAlignment="1" applyBorder="1" applyFont="1" applyNumberFormat="1">
      <alignment horizontal="center"/>
    </xf>
    <xf borderId="0" fillId="30" fontId="2" numFmtId="0" xfId="0" applyAlignment="1" applyFill="1" applyFont="1">
      <alignment horizontal="center"/>
    </xf>
    <xf borderId="1" fillId="4" fontId="2" numFmtId="0" xfId="0" applyAlignment="1" applyBorder="1" applyFont="1">
      <alignment horizontal="center"/>
    </xf>
    <xf borderId="0" fillId="0" fontId="1" numFmtId="9" xfId="0" applyAlignment="1" applyFont="1" applyNumberFormat="1">
      <alignment horizontal="center"/>
    </xf>
    <xf borderId="0" fillId="0" fontId="1" numFmtId="1" xfId="0" applyFont="1" applyNumberFormat="1"/>
    <xf borderId="1" fillId="0" fontId="9" numFmtId="0" xfId="0" applyAlignment="1" applyBorder="1" applyFont="1">
      <alignment horizontal="center" vertical="bottom"/>
    </xf>
    <xf borderId="1" fillId="7" fontId="9" numFmtId="0" xfId="0" applyAlignment="1" applyBorder="1" applyFont="1">
      <alignment horizontal="center" vertical="bottom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4CCCC"/>
          <bgColor rgb="FFF4CCCC"/>
        </patternFill>
      </fill>
      <border/>
    </dxf>
    <dxf>
      <font>
        <color rgb="FFFFFFFF"/>
      </font>
      <fill>
        <patternFill patternType="solid">
          <fgColor rgb="FF85200C"/>
          <bgColor rgb="FF85200C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4" pivot="0" name="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Graficos-style">
      <tableStyleElement dxfId="7" type="headerRow"/>
      <tableStyleElement dxfId="2" type="firstRowStripe"/>
      <tableStyleElement dxfId="8" type="secondRowStripe"/>
    </tableStyle>
    <tableStyle count="2" pivot="0" name="Graficos-style 2">
      <tableStyleElement dxfId="8" type="firstRowStripe"/>
      <tableStyleElement dxfId="2" type="secondRowStripe"/>
    </tableStyle>
    <tableStyle count="2" pivot="0" name="Graficos-style 3">
      <tableStyleElement dxfId="2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Comidas - Super - Otros</a:t>
            </a:r>
          </a:p>
        </c:rich>
      </c:tx>
      <c:overlay val="0"/>
    </c:title>
    <c:plotArea>
      <c:layout/>
      <c:areaChart>
        <c:ser>
          <c:idx val="1"/>
          <c:order val="1"/>
          <c:tx>
            <c:strRef>
              <c:f>Acumulado!$C$112</c:f>
            </c:strRef>
          </c:tx>
          <c:spPr>
            <a:solidFill>
              <a:srgbClr val="4A86E8">
                <a:alpha val="30000"/>
              </a:srgbClr>
            </a:solidFill>
            <a:ln cmpd="sng">
              <a:solidFill>
                <a:srgbClr val="4A86E8">
                  <a:alpha val="100000"/>
                </a:srgbClr>
              </a:solidFill>
            </a:ln>
          </c:spPr>
          <c:cat>
            <c:strRef>
              <c:f>Acumulado!$D$110:$AH$110</c:f>
            </c:strRef>
          </c:cat>
          <c:val>
            <c:numRef>
              <c:f>Acumulado!$D$112:$AH$112</c:f>
              <c:numCache/>
            </c:numRef>
          </c:val>
        </c:ser>
        <c:ser>
          <c:idx val="3"/>
          <c:order val="3"/>
          <c:tx>
            <c:strRef>
              <c:f>Acumulado!$C$114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Acumulado!$D$110:$AH$110</c:f>
            </c:strRef>
          </c:cat>
          <c:val>
            <c:numRef>
              <c:f>Acumulado!$D$114:$AH$114</c:f>
              <c:numCache/>
            </c:numRef>
          </c:val>
        </c:ser>
        <c:ser>
          <c:idx val="5"/>
          <c:order val="5"/>
          <c:tx>
            <c:strRef>
              <c:f>Acumulado!$C$116</c:f>
            </c:strRef>
          </c:tx>
          <c:spPr>
            <a:solidFill>
              <a:srgbClr val="93C47D">
                <a:alpha val="30000"/>
              </a:srgbClr>
            </a:solidFill>
            <a:ln cmpd="sng">
              <a:solidFill>
                <a:srgbClr val="93C47D">
                  <a:alpha val="100000"/>
                </a:srgbClr>
              </a:solidFill>
            </a:ln>
          </c:spPr>
          <c:cat>
            <c:strRef>
              <c:f>Acumulado!$D$110:$AH$110</c:f>
            </c:strRef>
          </c:cat>
          <c:val>
            <c:numRef>
              <c:f>Acumulado!$D$116:$AH$116</c:f>
              <c:numCache/>
            </c:numRef>
          </c:val>
        </c:ser>
        <c:axId val="386099251"/>
        <c:axId val="2078356214"/>
      </c:areaChart>
      <c:lineChart>
        <c:ser>
          <c:idx val="0"/>
          <c:order val="0"/>
          <c:tx>
            <c:strRef>
              <c:f>Acumulado!$C$111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Acumulado!$D$110:$AH$110</c:f>
            </c:strRef>
          </c:cat>
          <c:val>
            <c:numRef>
              <c:f>Acumulado!$D$111:$AH$111</c:f>
              <c:numCache/>
            </c:numRef>
          </c:val>
          <c:smooth val="0"/>
        </c:ser>
        <c:ser>
          <c:idx val="2"/>
          <c:order val="2"/>
          <c:tx>
            <c:strRef>
              <c:f>Acumulado!$C$113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Acumulado!$D$110:$AH$110</c:f>
            </c:strRef>
          </c:cat>
          <c:val>
            <c:numRef>
              <c:f>Acumulado!$D$113:$AH$113</c:f>
              <c:numCache/>
            </c:numRef>
          </c:val>
          <c:smooth val="0"/>
        </c:ser>
        <c:ser>
          <c:idx val="4"/>
          <c:order val="4"/>
          <c:tx>
            <c:strRef>
              <c:f>Acumulado!$C$115</c:f>
            </c:strRef>
          </c:tx>
          <c:spPr>
            <a:ln cmpd="sng">
              <a:solidFill>
                <a:srgbClr val="38761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Acumulado!$D$110:$AH$110</c:f>
            </c:strRef>
          </c:cat>
          <c:val>
            <c:numRef>
              <c:f>Acumulado!$D$115:$AH$115</c:f>
              <c:numCache/>
            </c:numRef>
          </c:val>
          <c:smooth val="0"/>
        </c:ser>
        <c:axId val="386099251"/>
        <c:axId val="2078356214"/>
      </c:lineChart>
      <c:catAx>
        <c:axId val="3860992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8356214"/>
      </c:catAx>
      <c:valAx>
        <c:axId val="2078356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6099251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Auto - Personales</a:t>
            </a:r>
          </a:p>
        </c:rich>
      </c:tx>
      <c:overlay val="0"/>
    </c:title>
    <c:plotArea>
      <c:layout/>
      <c:areaChart>
        <c:ser>
          <c:idx val="1"/>
          <c:order val="1"/>
          <c:tx>
            <c:strRef>
              <c:f>Acumulado!$C$139</c:f>
            </c:strRef>
          </c:tx>
          <c:spPr>
            <a:solidFill>
              <a:srgbClr val="4A86E8">
                <a:alpha val="30000"/>
              </a:srgbClr>
            </a:solidFill>
            <a:ln cmpd="sng">
              <a:solidFill>
                <a:srgbClr val="4A86E8">
                  <a:alpha val="100000"/>
                </a:srgbClr>
              </a:solidFill>
            </a:ln>
          </c:spPr>
          <c:cat>
            <c:strRef>
              <c:f>Acumulado!$D$137:$AH$137</c:f>
            </c:strRef>
          </c:cat>
          <c:val>
            <c:numRef>
              <c:f>Acumulado!$D$139:$AH$139</c:f>
              <c:numCache/>
            </c:numRef>
          </c:val>
        </c:ser>
        <c:ser>
          <c:idx val="3"/>
          <c:order val="3"/>
          <c:tx>
            <c:strRef>
              <c:f>Acumulado!$C$141</c:f>
            </c:strRef>
          </c:tx>
          <c:spPr>
            <a:solidFill>
              <a:srgbClr val="F1C232">
                <a:alpha val="30000"/>
              </a:srgbClr>
            </a:solidFill>
            <a:ln cmpd="sng">
              <a:solidFill>
                <a:srgbClr val="F1C232">
                  <a:alpha val="100000"/>
                </a:srgbClr>
              </a:solidFill>
            </a:ln>
          </c:spPr>
          <c:cat>
            <c:strRef>
              <c:f>Acumulado!$D$137:$AH$137</c:f>
            </c:strRef>
          </c:cat>
          <c:val>
            <c:numRef>
              <c:f>Acumulado!$D$141:$AH$141</c:f>
              <c:numCache/>
            </c:numRef>
          </c:val>
        </c:ser>
        <c:axId val="31048140"/>
        <c:axId val="1681120090"/>
      </c:areaChart>
      <c:lineChart>
        <c:ser>
          <c:idx val="0"/>
          <c:order val="0"/>
          <c:tx>
            <c:strRef>
              <c:f>Acumulado!$C$138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Acumulado!$D$137:$AH$137</c:f>
            </c:strRef>
          </c:cat>
          <c:val>
            <c:numRef>
              <c:f>Acumulado!$D$138:$AH$138</c:f>
              <c:numCache/>
            </c:numRef>
          </c:val>
          <c:smooth val="0"/>
        </c:ser>
        <c:ser>
          <c:idx val="2"/>
          <c:order val="2"/>
          <c:tx>
            <c:strRef>
              <c:f>Acumulado!$C$140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Acumulado!$D$137:$AH$137</c:f>
            </c:strRef>
          </c:cat>
          <c:val>
            <c:numRef>
              <c:f>Acumulado!$D$140:$AH$140</c:f>
              <c:numCache/>
            </c:numRef>
          </c:val>
          <c:smooth val="0"/>
        </c:ser>
        <c:axId val="31048140"/>
        <c:axId val="1681120090"/>
      </c:lineChart>
      <c:catAx>
        <c:axId val="310481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1120090"/>
      </c:catAx>
      <c:valAx>
        <c:axId val="16811200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0481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Pega - Transporte</a:t>
            </a:r>
          </a:p>
        </c:rich>
      </c:tx>
      <c:overlay val="0"/>
    </c:title>
    <c:plotArea>
      <c:layout/>
      <c:areaChart>
        <c:ser>
          <c:idx val="1"/>
          <c:order val="1"/>
          <c:tx>
            <c:strRef>
              <c:f>Acumulado!$C$146</c:f>
            </c:strRef>
          </c:tx>
          <c:spPr>
            <a:solidFill>
              <a:srgbClr val="4A86E8">
                <a:alpha val="30000"/>
              </a:srgbClr>
            </a:solidFill>
            <a:ln cmpd="sng">
              <a:solidFill>
                <a:srgbClr val="4A86E8">
                  <a:alpha val="100000"/>
                </a:srgbClr>
              </a:solidFill>
            </a:ln>
          </c:spPr>
          <c:cat>
            <c:strRef>
              <c:f>Acumulado!$D$144:$AH$144</c:f>
            </c:strRef>
          </c:cat>
          <c:val>
            <c:numRef>
              <c:f>Acumulado!$D$146:$AH$146</c:f>
              <c:numCache/>
            </c:numRef>
          </c:val>
        </c:ser>
        <c:ser>
          <c:idx val="3"/>
          <c:order val="3"/>
          <c:tx>
            <c:strRef>
              <c:f>Acumulado!$C$148</c:f>
            </c:strRef>
          </c:tx>
          <c:spPr>
            <a:solidFill>
              <a:srgbClr val="980000">
                <a:alpha val="30000"/>
              </a:srgbClr>
            </a:solidFill>
            <a:ln cmpd="sng">
              <a:solidFill>
                <a:srgbClr val="980000">
                  <a:alpha val="100000"/>
                </a:srgbClr>
              </a:solidFill>
            </a:ln>
          </c:spPr>
          <c:cat>
            <c:strRef>
              <c:f>Acumulado!$D$144:$AH$144</c:f>
            </c:strRef>
          </c:cat>
          <c:val>
            <c:numRef>
              <c:f>Acumulado!$D$148:$AH$148</c:f>
              <c:numCache/>
            </c:numRef>
          </c:val>
        </c:ser>
        <c:axId val="109105265"/>
        <c:axId val="748772843"/>
      </c:areaChart>
      <c:lineChart>
        <c:ser>
          <c:idx val="0"/>
          <c:order val="0"/>
          <c:tx>
            <c:strRef>
              <c:f>Acumulado!$C$145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Acumulado!$D$144:$AH$144</c:f>
            </c:strRef>
          </c:cat>
          <c:val>
            <c:numRef>
              <c:f>Acumulado!$D$145:$AH$145</c:f>
              <c:numCache/>
            </c:numRef>
          </c:val>
          <c:smooth val="0"/>
        </c:ser>
        <c:ser>
          <c:idx val="2"/>
          <c:order val="2"/>
          <c:tx>
            <c:strRef>
              <c:f>Acumulado!$C$147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Acumulado!$D$144:$AH$144</c:f>
            </c:strRef>
          </c:cat>
          <c:val>
            <c:numRef>
              <c:f>Acumulado!$D$147:$AH$147</c:f>
              <c:numCache/>
            </c:numRef>
          </c:val>
          <c:smooth val="0"/>
        </c:ser>
        <c:axId val="109105265"/>
        <c:axId val="748772843"/>
      </c:lineChart>
      <c:catAx>
        <c:axId val="1091052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8772843"/>
      </c:catAx>
      <c:valAx>
        <c:axId val="7487728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1052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Costo Variable + Luz-Internet - Plan vs Real</a:t>
            </a:r>
          </a:p>
        </c:rich>
      </c:tx>
      <c:overlay val="0"/>
    </c:title>
    <c:plotArea>
      <c:layout/>
      <c:areaChart>
        <c:ser>
          <c:idx val="1"/>
          <c:order val="1"/>
          <c:tx>
            <c:strRef>
              <c:f>Acumulado!$C$190</c:f>
            </c:strRef>
          </c:tx>
          <c:spPr>
            <a:solidFill>
              <a:srgbClr val="4A86E8">
                <a:alpha val="30000"/>
              </a:srgbClr>
            </a:solidFill>
            <a:ln cmpd="sng">
              <a:solidFill>
                <a:srgbClr val="4A86E8">
                  <a:alpha val="50196"/>
                </a:srgbClr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Acumulado!$D$188:$AH$188</c:f>
            </c:strRef>
          </c:cat>
          <c:val>
            <c:numRef>
              <c:f>Acumulado!$D$190:$AH$190</c:f>
              <c:numCache/>
            </c:numRef>
          </c:val>
        </c:ser>
        <c:axId val="1140198902"/>
        <c:axId val="20891660"/>
      </c:areaChart>
      <c:lineChart>
        <c:varyColors val="0"/>
        <c:ser>
          <c:idx val="0"/>
          <c:order val="0"/>
          <c:tx>
            <c:strRef>
              <c:f>Acumulado!$C$189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Acumulado!$D$188:$AH$188</c:f>
            </c:strRef>
          </c:cat>
          <c:val>
            <c:numRef>
              <c:f>Acumulado!$D$189:$AH$189</c:f>
              <c:numCache/>
            </c:numRef>
          </c:val>
          <c:smooth val="0"/>
        </c:ser>
        <c:axId val="1140198902"/>
        <c:axId val="20891660"/>
      </c:lineChart>
      <c:catAx>
        <c:axId val="1140198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91660"/>
      </c:catAx>
      <c:valAx>
        <c:axId val="208916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0198902"/>
      </c:valAx>
      <c:lineChart>
        <c:varyColors val="0"/>
        <c:ser>
          <c:idx val="2"/>
          <c:order val="2"/>
          <c:tx>
            <c:strRef>
              <c:f>Acumulado!$C$192</c:f>
            </c:strRef>
          </c:tx>
          <c:spPr>
            <a:ln cmpd="sng" w="9525">
              <a:solidFill>
                <a:srgbClr val="000000">
                  <a:alpha val="50196"/>
                </a:srgbClr>
              </a:solidFill>
              <a:prstDash val="dash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Acumulado!$D$188:$AH$188</c:f>
            </c:strRef>
          </c:cat>
          <c:val>
            <c:numRef>
              <c:f>Acumulado!$D$192:$AI$192</c:f>
              <c:numCache/>
            </c:numRef>
          </c:val>
          <c:smooth val="0"/>
        </c:ser>
        <c:axId val="1822401584"/>
        <c:axId val="795926474"/>
      </c:lineChart>
      <c:catAx>
        <c:axId val="18224015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5926474"/>
      </c:catAx>
      <c:valAx>
        <c:axId val="79592647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240158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Luz/Internet </a:t>
            </a:r>
          </a:p>
        </c:rich>
      </c:tx>
      <c:overlay val="0"/>
    </c:title>
    <c:plotArea>
      <c:layout/>
      <c:areaChart>
        <c:ser>
          <c:idx val="2"/>
          <c:order val="2"/>
          <c:tx>
            <c:strRef>
              <c:f>Acumulado!$C$89</c:f>
            </c:strRef>
          </c:tx>
          <c:spPr>
            <a:solidFill>
              <a:srgbClr val="4A86E8">
                <a:alpha val="30000"/>
              </a:srgbClr>
            </a:solidFill>
            <a:ln cmpd="sng">
              <a:solidFill>
                <a:srgbClr val="4A86E8">
                  <a:alpha val="100000"/>
                </a:srgbClr>
              </a:solidFill>
            </a:ln>
          </c:spPr>
          <c:cat>
            <c:strRef>
              <c:f>Acumulado!$D$86:$AH$86</c:f>
            </c:strRef>
          </c:cat>
          <c:val>
            <c:numRef>
              <c:f>Acumulado!$D$89:$AH$89</c:f>
              <c:numCache/>
            </c:numRef>
          </c:val>
        </c:ser>
        <c:ser>
          <c:idx val="3"/>
          <c:order val="3"/>
          <c:tx>
            <c:strRef>
              <c:f>Acumulado!$C$90</c:f>
            </c:strRef>
          </c:tx>
          <c:spPr>
            <a:solidFill>
              <a:srgbClr val="EA9999">
                <a:alpha val="30000"/>
              </a:srgbClr>
            </a:solidFill>
            <a:ln cmpd="sng">
              <a:solidFill>
                <a:srgbClr val="EA9999">
                  <a:alpha val="100000"/>
                </a:srgbClr>
              </a:solidFill>
            </a:ln>
          </c:spPr>
          <c:cat>
            <c:strRef>
              <c:f>Acumulado!$D$86:$AH$86</c:f>
            </c:strRef>
          </c:cat>
          <c:val>
            <c:numRef>
              <c:f>Acumulado!$D$90:$AH$90</c:f>
              <c:numCache/>
            </c:numRef>
          </c:val>
        </c:ser>
        <c:axId val="1015063145"/>
        <c:axId val="223087293"/>
      </c:areaChart>
      <c:lineChart>
        <c:ser>
          <c:idx val="0"/>
          <c:order val="0"/>
          <c:tx>
            <c:strRef>
              <c:f>Acumulado!$C$87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Acumulado!$D$86:$AH$86</c:f>
            </c:strRef>
          </c:cat>
          <c:val>
            <c:numRef>
              <c:f>Acumulado!$D$87:$AH$87</c:f>
              <c:numCache/>
            </c:numRef>
          </c:val>
          <c:smooth val="0"/>
        </c:ser>
        <c:ser>
          <c:idx val="1"/>
          <c:order val="1"/>
          <c:tx>
            <c:strRef>
              <c:f>Acumulado!$C$88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Acumulado!$D$86:$AH$86</c:f>
            </c:strRef>
          </c:cat>
          <c:val>
            <c:numRef>
              <c:f>Acumulado!$D$88:$AH$88</c:f>
              <c:numCache/>
            </c:numRef>
          </c:val>
          <c:smooth val="0"/>
        </c:ser>
        <c:axId val="1015063145"/>
        <c:axId val="223087293"/>
      </c:lineChart>
      <c:catAx>
        <c:axId val="10150631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3087293"/>
      </c:catAx>
      <c:valAx>
        <c:axId val="2230872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50631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Luz/Internet </a:t>
            </a:r>
          </a:p>
        </c:rich>
      </c:tx>
      <c:overlay val="0"/>
    </c:title>
    <c:plotArea>
      <c:layout/>
      <c:areaChart>
        <c:ser>
          <c:idx val="2"/>
          <c:order val="2"/>
          <c:tx>
            <c:strRef>
              <c:f>Acumulado!$C$89</c:f>
            </c:strRef>
          </c:tx>
          <c:spPr>
            <a:solidFill>
              <a:srgbClr val="4A86E8">
                <a:alpha val="30000"/>
              </a:srgbClr>
            </a:solidFill>
            <a:ln cmpd="sng">
              <a:solidFill>
                <a:srgbClr val="4A86E8">
                  <a:alpha val="100000"/>
                </a:srgbClr>
              </a:solidFill>
            </a:ln>
          </c:spPr>
          <c:cat>
            <c:strRef>
              <c:f>Acumulado!$D$86:$AH$86</c:f>
            </c:strRef>
          </c:cat>
          <c:val>
            <c:numRef>
              <c:f>Acumulado!$D$89:$AH$89</c:f>
              <c:numCache/>
            </c:numRef>
          </c:val>
        </c:ser>
        <c:ser>
          <c:idx val="3"/>
          <c:order val="3"/>
          <c:tx>
            <c:strRef>
              <c:f>Acumulado!$C$90</c:f>
            </c:strRef>
          </c:tx>
          <c:spPr>
            <a:solidFill>
              <a:srgbClr val="EA9999">
                <a:alpha val="30000"/>
              </a:srgbClr>
            </a:solidFill>
            <a:ln cmpd="sng">
              <a:solidFill>
                <a:srgbClr val="EA9999">
                  <a:alpha val="100000"/>
                </a:srgbClr>
              </a:solidFill>
            </a:ln>
          </c:spPr>
          <c:cat>
            <c:strRef>
              <c:f>Acumulado!$D$86:$AH$86</c:f>
            </c:strRef>
          </c:cat>
          <c:val>
            <c:numRef>
              <c:f>Acumulado!$D$90:$AH$90</c:f>
              <c:numCache/>
            </c:numRef>
          </c:val>
        </c:ser>
        <c:axId val="1033427877"/>
        <c:axId val="430254707"/>
      </c:areaChart>
      <c:lineChart>
        <c:ser>
          <c:idx val="0"/>
          <c:order val="0"/>
          <c:tx>
            <c:strRef>
              <c:f>Acumulado!$C$87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Acumulado!$D$86:$AH$86</c:f>
            </c:strRef>
          </c:cat>
          <c:val>
            <c:numRef>
              <c:f>Acumulado!$D$87:$AH$87</c:f>
              <c:numCache/>
            </c:numRef>
          </c:val>
          <c:smooth val="0"/>
        </c:ser>
        <c:ser>
          <c:idx val="1"/>
          <c:order val="1"/>
          <c:tx>
            <c:strRef>
              <c:f>Acumulado!$C$88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Acumulado!$D$86:$AH$86</c:f>
            </c:strRef>
          </c:cat>
          <c:val>
            <c:numRef>
              <c:f>Acumulado!$D$88:$AH$88</c:f>
              <c:numCache/>
            </c:numRef>
          </c:val>
          <c:smooth val="0"/>
        </c:ser>
        <c:axId val="1033427877"/>
        <c:axId val="430254707"/>
      </c:lineChart>
      <c:catAx>
        <c:axId val="10334278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0254707"/>
      </c:catAx>
      <c:valAx>
        <c:axId val="4302547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34278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Comidas - Super - Otros</a:t>
            </a:r>
          </a:p>
        </c:rich>
      </c:tx>
      <c:overlay val="0"/>
    </c:title>
    <c:plotArea>
      <c:layout/>
      <c:areaChart>
        <c:ser>
          <c:idx val="1"/>
          <c:order val="1"/>
          <c:tx>
            <c:strRef>
              <c:f>Acumulado!$C$112</c:f>
            </c:strRef>
          </c:tx>
          <c:spPr>
            <a:solidFill>
              <a:srgbClr val="4A86E8">
                <a:alpha val="30000"/>
              </a:srgbClr>
            </a:solidFill>
            <a:ln cmpd="sng">
              <a:solidFill>
                <a:srgbClr val="4A86E8">
                  <a:alpha val="100000"/>
                </a:srgbClr>
              </a:solidFill>
            </a:ln>
          </c:spPr>
          <c:cat>
            <c:strRef>
              <c:f>Acumulado!$D$110:$AH$110</c:f>
            </c:strRef>
          </c:cat>
          <c:val>
            <c:numRef>
              <c:f>Acumulado!$D$112:$AH$112</c:f>
              <c:numCache/>
            </c:numRef>
          </c:val>
        </c:ser>
        <c:ser>
          <c:idx val="3"/>
          <c:order val="3"/>
          <c:tx>
            <c:strRef>
              <c:f>Acumulado!$C$114</c:f>
            </c:strRef>
          </c:tx>
          <c:spPr>
            <a:solidFill>
              <a:srgbClr val="FF0000">
                <a:alpha val="30000"/>
              </a:srgbClr>
            </a:solidFill>
            <a:ln cmpd="sng">
              <a:solidFill>
                <a:srgbClr val="FF0000">
                  <a:alpha val="100000"/>
                </a:srgbClr>
              </a:solidFill>
            </a:ln>
          </c:spPr>
          <c:cat>
            <c:strRef>
              <c:f>Acumulado!$D$110:$AH$110</c:f>
            </c:strRef>
          </c:cat>
          <c:val>
            <c:numRef>
              <c:f>Acumulado!$D$114:$AH$114</c:f>
              <c:numCache/>
            </c:numRef>
          </c:val>
        </c:ser>
        <c:ser>
          <c:idx val="5"/>
          <c:order val="5"/>
          <c:tx>
            <c:strRef>
              <c:f>Acumulado!$C$116</c:f>
            </c:strRef>
          </c:tx>
          <c:spPr>
            <a:solidFill>
              <a:srgbClr val="93C47D">
                <a:alpha val="30000"/>
              </a:srgbClr>
            </a:solidFill>
            <a:ln cmpd="sng">
              <a:solidFill>
                <a:srgbClr val="93C47D">
                  <a:alpha val="100000"/>
                </a:srgbClr>
              </a:solidFill>
            </a:ln>
          </c:spPr>
          <c:cat>
            <c:strRef>
              <c:f>Acumulado!$D$110:$AH$110</c:f>
            </c:strRef>
          </c:cat>
          <c:val>
            <c:numRef>
              <c:f>Acumulado!$D$116:$AH$116</c:f>
              <c:numCache/>
            </c:numRef>
          </c:val>
        </c:ser>
        <c:axId val="277289016"/>
        <c:axId val="397261638"/>
      </c:areaChart>
      <c:lineChart>
        <c:ser>
          <c:idx val="0"/>
          <c:order val="0"/>
          <c:tx>
            <c:strRef>
              <c:f>Acumulado!$C$111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Acumulado!$D$110:$AH$110</c:f>
            </c:strRef>
          </c:cat>
          <c:val>
            <c:numRef>
              <c:f>Acumulado!$D$111:$AH$111</c:f>
              <c:numCache/>
            </c:numRef>
          </c:val>
          <c:smooth val="0"/>
        </c:ser>
        <c:ser>
          <c:idx val="2"/>
          <c:order val="2"/>
          <c:tx>
            <c:strRef>
              <c:f>Acumulado!$C$113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Acumulado!$D$110:$AH$110</c:f>
            </c:strRef>
          </c:cat>
          <c:val>
            <c:numRef>
              <c:f>Acumulado!$D$113:$AH$113</c:f>
              <c:numCache/>
            </c:numRef>
          </c:val>
          <c:smooth val="0"/>
        </c:ser>
        <c:ser>
          <c:idx val="4"/>
          <c:order val="4"/>
          <c:tx>
            <c:strRef>
              <c:f>Acumulado!$C$115</c:f>
            </c:strRef>
          </c:tx>
          <c:spPr>
            <a:ln cmpd="sng">
              <a:solidFill>
                <a:srgbClr val="38761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Acumulado!$D$110:$AH$110</c:f>
            </c:strRef>
          </c:cat>
          <c:val>
            <c:numRef>
              <c:f>Acumulado!$D$115:$AH$115</c:f>
              <c:numCache/>
            </c:numRef>
          </c:val>
          <c:smooth val="0"/>
        </c:ser>
        <c:axId val="277289016"/>
        <c:axId val="397261638"/>
      </c:lineChart>
      <c:catAx>
        <c:axId val="277289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7261638"/>
      </c:catAx>
      <c:valAx>
        <c:axId val="3972616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7289016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Auto - Personales</a:t>
            </a:r>
          </a:p>
        </c:rich>
      </c:tx>
      <c:overlay val="0"/>
    </c:title>
    <c:plotArea>
      <c:layout/>
      <c:areaChart>
        <c:ser>
          <c:idx val="1"/>
          <c:order val="1"/>
          <c:tx>
            <c:strRef>
              <c:f>Acumulado!$C$139</c:f>
            </c:strRef>
          </c:tx>
          <c:spPr>
            <a:solidFill>
              <a:srgbClr val="4A86E8">
                <a:alpha val="30000"/>
              </a:srgbClr>
            </a:solidFill>
            <a:ln cmpd="sng">
              <a:solidFill>
                <a:srgbClr val="4A86E8">
                  <a:alpha val="100000"/>
                </a:srgbClr>
              </a:solidFill>
            </a:ln>
          </c:spPr>
          <c:cat>
            <c:strRef>
              <c:f>Acumulado!$D$137:$AH$137</c:f>
            </c:strRef>
          </c:cat>
          <c:val>
            <c:numRef>
              <c:f>Acumulado!$D$139:$AH$139</c:f>
              <c:numCache/>
            </c:numRef>
          </c:val>
        </c:ser>
        <c:ser>
          <c:idx val="3"/>
          <c:order val="3"/>
          <c:tx>
            <c:strRef>
              <c:f>Acumulado!$C$141</c:f>
            </c:strRef>
          </c:tx>
          <c:spPr>
            <a:solidFill>
              <a:srgbClr val="F1C232">
                <a:alpha val="30000"/>
              </a:srgbClr>
            </a:solidFill>
            <a:ln cmpd="sng">
              <a:solidFill>
                <a:srgbClr val="F1C232">
                  <a:alpha val="100000"/>
                </a:srgbClr>
              </a:solidFill>
            </a:ln>
          </c:spPr>
          <c:cat>
            <c:strRef>
              <c:f>Acumulado!$D$137:$AH$137</c:f>
            </c:strRef>
          </c:cat>
          <c:val>
            <c:numRef>
              <c:f>Acumulado!$D$141:$AH$141</c:f>
              <c:numCache/>
            </c:numRef>
          </c:val>
        </c:ser>
        <c:axId val="1741401479"/>
        <c:axId val="523498401"/>
      </c:areaChart>
      <c:lineChart>
        <c:ser>
          <c:idx val="0"/>
          <c:order val="0"/>
          <c:tx>
            <c:strRef>
              <c:f>Acumulado!$C$138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Acumulado!$D$137:$AH$137</c:f>
            </c:strRef>
          </c:cat>
          <c:val>
            <c:numRef>
              <c:f>Acumulado!$D$138:$AH$138</c:f>
              <c:numCache/>
            </c:numRef>
          </c:val>
          <c:smooth val="0"/>
        </c:ser>
        <c:ser>
          <c:idx val="2"/>
          <c:order val="2"/>
          <c:tx>
            <c:strRef>
              <c:f>Acumulado!$C$140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Acumulado!$D$137:$AH$137</c:f>
            </c:strRef>
          </c:cat>
          <c:val>
            <c:numRef>
              <c:f>Acumulado!$D$140:$AH$140</c:f>
              <c:numCache/>
            </c:numRef>
          </c:val>
          <c:smooth val="0"/>
        </c:ser>
        <c:axId val="1741401479"/>
        <c:axId val="523498401"/>
      </c:lineChart>
      <c:catAx>
        <c:axId val="1741401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3498401"/>
      </c:catAx>
      <c:valAx>
        <c:axId val="5234984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14014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Pega - Transporte</a:t>
            </a:r>
          </a:p>
        </c:rich>
      </c:tx>
      <c:overlay val="0"/>
    </c:title>
    <c:plotArea>
      <c:layout/>
      <c:areaChart>
        <c:ser>
          <c:idx val="1"/>
          <c:order val="1"/>
          <c:tx>
            <c:strRef>
              <c:f>Acumulado!$C$146</c:f>
            </c:strRef>
          </c:tx>
          <c:spPr>
            <a:solidFill>
              <a:srgbClr val="4A86E8">
                <a:alpha val="30000"/>
              </a:srgbClr>
            </a:solidFill>
            <a:ln cmpd="sng">
              <a:solidFill>
                <a:srgbClr val="4A86E8">
                  <a:alpha val="100000"/>
                </a:srgbClr>
              </a:solidFill>
            </a:ln>
          </c:spPr>
          <c:cat>
            <c:strRef>
              <c:f>Acumulado!$D$144:$AH$144</c:f>
            </c:strRef>
          </c:cat>
          <c:val>
            <c:numRef>
              <c:f>Acumulado!$D$146:$AH$146</c:f>
              <c:numCache/>
            </c:numRef>
          </c:val>
        </c:ser>
        <c:ser>
          <c:idx val="3"/>
          <c:order val="3"/>
          <c:tx>
            <c:strRef>
              <c:f>Acumulado!$C$148</c:f>
            </c:strRef>
          </c:tx>
          <c:spPr>
            <a:solidFill>
              <a:srgbClr val="980000">
                <a:alpha val="30000"/>
              </a:srgbClr>
            </a:solidFill>
            <a:ln cmpd="sng">
              <a:solidFill>
                <a:srgbClr val="980000">
                  <a:alpha val="100000"/>
                </a:srgbClr>
              </a:solidFill>
            </a:ln>
          </c:spPr>
          <c:cat>
            <c:strRef>
              <c:f>Acumulado!$D$144:$AH$144</c:f>
            </c:strRef>
          </c:cat>
          <c:val>
            <c:numRef>
              <c:f>Acumulado!$D$148:$AH$148</c:f>
              <c:numCache/>
            </c:numRef>
          </c:val>
        </c:ser>
        <c:axId val="812483296"/>
        <c:axId val="1481352934"/>
      </c:areaChart>
      <c:lineChart>
        <c:ser>
          <c:idx val="0"/>
          <c:order val="0"/>
          <c:tx>
            <c:strRef>
              <c:f>Acumulado!$C$145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Acumulado!$D$144:$AH$144</c:f>
            </c:strRef>
          </c:cat>
          <c:val>
            <c:numRef>
              <c:f>Acumulado!$D$145:$AH$145</c:f>
              <c:numCache/>
            </c:numRef>
          </c:val>
          <c:smooth val="0"/>
        </c:ser>
        <c:ser>
          <c:idx val="2"/>
          <c:order val="2"/>
          <c:tx>
            <c:strRef>
              <c:f>Acumulado!$C$147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Acumulado!$D$144:$AH$144</c:f>
            </c:strRef>
          </c:cat>
          <c:val>
            <c:numRef>
              <c:f>Acumulado!$D$147:$AH$147</c:f>
              <c:numCache/>
            </c:numRef>
          </c:val>
          <c:smooth val="0"/>
        </c:ser>
        <c:axId val="812483296"/>
        <c:axId val="1481352934"/>
      </c:lineChart>
      <c:catAx>
        <c:axId val="812483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1352934"/>
      </c:catAx>
      <c:valAx>
        <c:axId val="14813529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24832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Costo Variable - Plan/Real</a:t>
            </a:r>
          </a:p>
        </c:rich>
      </c:tx>
      <c:overlay val="0"/>
    </c:title>
    <c:plotArea>
      <c:layout/>
      <c:areaChart>
        <c:ser>
          <c:idx val="1"/>
          <c:order val="1"/>
          <c:tx>
            <c:strRef>
              <c:f>Acumulado!$C$190</c:f>
            </c:strRef>
          </c:tx>
          <c:spPr>
            <a:solidFill>
              <a:srgbClr val="4A86E8">
                <a:alpha val="30000"/>
              </a:srgbClr>
            </a:solidFill>
            <a:ln cmpd="sng">
              <a:solidFill>
                <a:srgbClr val="4A86E8">
                  <a:alpha val="100000"/>
                </a:srgbClr>
              </a:solidFill>
            </a:ln>
          </c:spPr>
          <c:cat>
            <c:strRef>
              <c:f>Acumulado!$D$188:$AH$188</c:f>
            </c:strRef>
          </c:cat>
          <c:val>
            <c:numRef>
              <c:f>Acumulado!$D$190:$AH$190</c:f>
              <c:numCache/>
            </c:numRef>
          </c:val>
        </c:ser>
        <c:axId val="582210402"/>
        <c:axId val="587722085"/>
      </c:areaChart>
      <c:lineChart>
        <c:varyColors val="0"/>
        <c:ser>
          <c:idx val="0"/>
          <c:order val="0"/>
          <c:tx>
            <c:strRef>
              <c:f>Acumulado!$C$189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Acumulado!$D$188:$AH$188</c:f>
            </c:strRef>
          </c:cat>
          <c:val>
            <c:numRef>
              <c:f>Acumulado!$D$189:$AH$189</c:f>
              <c:numCache/>
            </c:numRef>
          </c:val>
          <c:smooth val="0"/>
        </c:ser>
        <c:axId val="582210402"/>
        <c:axId val="587722085"/>
      </c:lineChart>
      <c:catAx>
        <c:axId val="5822104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7722085"/>
      </c:catAx>
      <c:valAx>
        <c:axId val="5877220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2210402"/>
      </c:valAx>
      <c:lineChart>
        <c:varyColors val="0"/>
        <c:ser>
          <c:idx val="2"/>
          <c:order val="2"/>
          <c:tx>
            <c:strRef>
              <c:f>Acumulado!$C$192</c:f>
            </c:strRef>
          </c:tx>
          <c:spPr>
            <a:ln cmpd="sng" w="9525">
              <a:solidFill>
                <a:srgbClr val="000000">
                  <a:alpha val="50196"/>
                </a:srgbClr>
              </a:solidFill>
              <a:prstDash val="dash"/>
            </a:ln>
          </c:spPr>
          <c:marker>
            <c:symbol val="none"/>
          </c:marker>
          <c:cat>
            <c:strRef>
              <c:f>Acumulado!$D$188:$AH$188</c:f>
            </c:strRef>
          </c:cat>
          <c:val>
            <c:numRef>
              <c:f>Acumulado!$D$192:$AI$192</c:f>
              <c:numCache/>
            </c:numRef>
          </c:val>
          <c:smooth val="0"/>
        </c:ser>
        <c:axId val="924741964"/>
        <c:axId val="993433553"/>
      </c:lineChart>
      <c:catAx>
        <c:axId val="9247419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3433553"/>
      </c:catAx>
      <c:valAx>
        <c:axId val="99343355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474196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619125</xdr:colOff>
      <xdr:row>37</xdr:row>
      <xdr:rowOff>85725</xdr:rowOff>
    </xdr:from>
    <xdr:ext cx="1477327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619125</xdr:colOff>
      <xdr:row>73</xdr:row>
      <xdr:rowOff>47625</xdr:rowOff>
    </xdr:from>
    <xdr:ext cx="1477327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619125</xdr:colOff>
      <xdr:row>55</xdr:row>
      <xdr:rowOff>66675</xdr:rowOff>
    </xdr:from>
    <xdr:ext cx="14773275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619125</xdr:colOff>
      <xdr:row>1</xdr:row>
      <xdr:rowOff>66675</xdr:rowOff>
    </xdr:from>
    <xdr:ext cx="14773275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619125</xdr:colOff>
      <xdr:row>20</xdr:row>
      <xdr:rowOff>66675</xdr:rowOff>
    </xdr:from>
    <xdr:ext cx="14773275" cy="33718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1600200</xdr:colOff>
      <xdr:row>90</xdr:row>
      <xdr:rowOff>142875</xdr:rowOff>
    </xdr:from>
    <xdr:ext cx="1491615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1666875</xdr:colOff>
      <xdr:row>117</xdr:row>
      <xdr:rowOff>47625</xdr:rowOff>
    </xdr:from>
    <xdr:ext cx="14849475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1666875</xdr:colOff>
      <xdr:row>149</xdr:row>
      <xdr:rowOff>114300</xdr:rowOff>
    </xdr:from>
    <xdr:ext cx="1491615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1676400</xdr:colOff>
      <xdr:row>168</xdr:row>
      <xdr:rowOff>9525</xdr:rowOff>
    </xdr:from>
    <xdr:ext cx="14849475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1676400</xdr:colOff>
      <xdr:row>193</xdr:row>
      <xdr:rowOff>152400</xdr:rowOff>
    </xdr:from>
    <xdr:ext cx="14773275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00" displayName="Table1" name="Table1" id="1">
  <tableColumns count="7">
    <tableColumn name="Day " id="1"/>
    <tableColumn name="Monto" id="2"/>
    <tableColumn name="Detalle" id="3"/>
    <tableColumn name="Clasificacion" id="4"/>
    <tableColumn name="Checker" id="5"/>
    <tableColumn name="Check Class" id="6"/>
    <tableColumn name="Check Monto" id="7"/>
  </tableColumns>
  <tableStyleInfo name="Data-style" showColumnStripes="0" showFirstColumn="1" showLastColumn="1" showRowStripes="1"/>
</table>
</file>

<file path=xl/tables/table2.xml><?xml version="1.0" encoding="utf-8"?>
<table xmlns="http://schemas.openxmlformats.org/spreadsheetml/2006/main" headerRowCount="0" ref="R39:W55" displayName="Table_1" name="Table_1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rafico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R61:V69" displayName="Table_2" name="Table_2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Grafic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R70:V71" displayName="Table_3" name="Table_3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Grafico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8.25"/>
    <col customWidth="1" min="3" max="3" width="27.13"/>
    <col customWidth="1" min="4" max="4" width="16.63"/>
    <col customWidth="1" hidden="1" min="5" max="5" width="16.63"/>
    <col hidden="1" min="6" max="7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ht="15.0" customHeight="1">
      <c r="A2" s="4">
        <v>1.0</v>
      </c>
      <c r="B2" s="5"/>
      <c r="C2" s="6" t="s">
        <v>7</v>
      </c>
      <c r="D2" s="7" t="s">
        <v>7</v>
      </c>
      <c r="E2" s="8">
        <f t="shared" ref="E2:E6" si="1">if(and(F2,G2),1,2)</f>
        <v>2</v>
      </c>
      <c r="F2" s="9" t="b">
        <f t="shared" ref="F2:F6" si="2">ISBLANK(D2)</f>
        <v>0</v>
      </c>
      <c r="G2" s="9" t="b">
        <f t="shared" ref="G2:G6" si="3">ISNUMBER(B2)</f>
        <v>0</v>
      </c>
    </row>
    <row r="3" ht="15.0" customHeight="1">
      <c r="A3" s="4">
        <v>1.0</v>
      </c>
      <c r="B3" s="5">
        <v>37.0</v>
      </c>
      <c r="C3" s="6" t="s">
        <v>8</v>
      </c>
      <c r="D3" s="7" t="s">
        <v>9</v>
      </c>
      <c r="E3" s="8">
        <f t="shared" si="1"/>
        <v>2</v>
      </c>
      <c r="F3" s="9" t="b">
        <f t="shared" si="2"/>
        <v>0</v>
      </c>
      <c r="G3" s="9" t="b">
        <f t="shared" si="3"/>
        <v>1</v>
      </c>
    </row>
    <row r="4" ht="15.0" customHeight="1">
      <c r="A4" s="4">
        <v>1.0</v>
      </c>
      <c r="B4" s="5">
        <v>95.0</v>
      </c>
      <c r="C4" s="6" t="s">
        <v>10</v>
      </c>
      <c r="D4" s="7" t="s">
        <v>10</v>
      </c>
      <c r="E4" s="8">
        <f t="shared" si="1"/>
        <v>2</v>
      </c>
      <c r="F4" s="9" t="b">
        <f t="shared" si="2"/>
        <v>0</v>
      </c>
      <c r="G4" s="9" t="b">
        <f t="shared" si="3"/>
        <v>1</v>
      </c>
    </row>
    <row r="5" ht="15.0" customHeight="1">
      <c r="A5" s="4">
        <v>1.0</v>
      </c>
      <c r="B5" s="5">
        <v>33.0</v>
      </c>
      <c r="C5" s="6" t="s">
        <v>11</v>
      </c>
      <c r="D5" s="7" t="s">
        <v>9</v>
      </c>
      <c r="E5" s="8">
        <f t="shared" si="1"/>
        <v>2</v>
      </c>
      <c r="F5" s="9" t="b">
        <f t="shared" si="2"/>
        <v>0</v>
      </c>
      <c r="G5" s="9" t="b">
        <f t="shared" si="3"/>
        <v>1</v>
      </c>
    </row>
    <row r="6" ht="15.0" customHeight="1">
      <c r="A6" s="4">
        <v>1.0</v>
      </c>
      <c r="B6" s="5">
        <v>27.0</v>
      </c>
      <c r="C6" s="6" t="s">
        <v>12</v>
      </c>
      <c r="D6" s="7" t="s">
        <v>9</v>
      </c>
      <c r="E6" s="8">
        <f t="shared" si="1"/>
        <v>2</v>
      </c>
      <c r="F6" s="9" t="b">
        <f t="shared" si="2"/>
        <v>0</v>
      </c>
      <c r="G6" s="9" t="b">
        <f t="shared" si="3"/>
        <v>1</v>
      </c>
    </row>
    <row r="7" ht="15.0" customHeight="1">
      <c r="A7" s="4">
        <v>1.0</v>
      </c>
      <c r="B7" s="5">
        <v>34.0</v>
      </c>
      <c r="C7" s="6" t="s">
        <v>13</v>
      </c>
      <c r="D7" s="7" t="s">
        <v>9</v>
      </c>
      <c r="E7" s="8"/>
      <c r="F7" s="9"/>
      <c r="G7" s="9"/>
    </row>
    <row r="8" ht="15.0" customHeight="1">
      <c r="A8" s="4">
        <v>2.0</v>
      </c>
      <c r="B8" s="5">
        <v>200.67</v>
      </c>
      <c r="C8" s="6" t="s">
        <v>14</v>
      </c>
      <c r="D8" s="7" t="s">
        <v>9</v>
      </c>
      <c r="E8" s="8"/>
      <c r="F8" s="9"/>
      <c r="G8" s="9"/>
    </row>
    <row r="9" ht="15.0" customHeight="1">
      <c r="A9" s="4">
        <v>2.0</v>
      </c>
      <c r="B9" s="5">
        <v>90</v>
      </c>
      <c r="C9" s="6" t="s">
        <v>15</v>
      </c>
      <c r="D9" s="7" t="s">
        <v>16</v>
      </c>
      <c r="E9" s="8"/>
      <c r="F9" s="9"/>
      <c r="G9" s="9"/>
    </row>
    <row r="10" ht="15.0" customHeight="1">
      <c r="A10" s="4">
        <v>2.0</v>
      </c>
      <c r="B10" s="5">
        <v>50.0</v>
      </c>
      <c r="C10" s="6" t="s">
        <v>17</v>
      </c>
      <c r="D10" s="7" t="s">
        <v>18</v>
      </c>
      <c r="E10" s="8"/>
      <c r="F10" s="9"/>
      <c r="G10" s="9"/>
    </row>
    <row r="11" ht="15.0" customHeight="1">
      <c r="A11" s="4">
        <v>2.0</v>
      </c>
      <c r="B11" s="5">
        <v>33.0</v>
      </c>
      <c r="C11" s="6" t="s">
        <v>19</v>
      </c>
      <c r="D11" s="7" t="s">
        <v>20</v>
      </c>
      <c r="E11" s="8"/>
      <c r="F11" s="9"/>
      <c r="G11" s="9"/>
    </row>
    <row r="12" ht="15.0" customHeight="1">
      <c r="A12" s="4">
        <v>2.0</v>
      </c>
      <c r="B12" s="5">
        <v>6.0</v>
      </c>
      <c r="C12" s="6" t="s">
        <v>21</v>
      </c>
      <c r="D12" s="7" t="s">
        <v>20</v>
      </c>
      <c r="E12" s="8"/>
      <c r="F12" s="9"/>
      <c r="G12" s="9"/>
    </row>
    <row r="13" ht="15.0" customHeight="1">
      <c r="A13" s="4">
        <v>2.0</v>
      </c>
      <c r="B13" s="5">
        <v>88.0</v>
      </c>
      <c r="C13" s="6" t="s">
        <v>22</v>
      </c>
      <c r="D13" s="7" t="s">
        <v>16</v>
      </c>
      <c r="E13" s="8"/>
      <c r="F13" s="9"/>
      <c r="G13" s="9"/>
    </row>
    <row r="14" ht="15.0" customHeight="1">
      <c r="A14" s="4">
        <v>2.0</v>
      </c>
      <c r="B14" s="5">
        <v>110.0</v>
      </c>
      <c r="C14" s="6" t="s">
        <v>23</v>
      </c>
      <c r="D14" s="7" t="s">
        <v>24</v>
      </c>
      <c r="E14" s="8"/>
      <c r="F14" s="9"/>
      <c r="G14" s="9"/>
    </row>
    <row r="15" ht="15.0" customHeight="1">
      <c r="A15" s="4">
        <v>2.0</v>
      </c>
      <c r="B15" s="5">
        <v>6.0</v>
      </c>
      <c r="C15" s="6" t="s">
        <v>25</v>
      </c>
      <c r="D15" s="7" t="s">
        <v>26</v>
      </c>
      <c r="E15" s="8"/>
      <c r="F15" s="9"/>
      <c r="G15" s="9"/>
    </row>
    <row r="16" ht="15.0" customHeight="1">
      <c r="A16" s="4">
        <v>3.0</v>
      </c>
      <c r="B16" s="5">
        <v>22.0</v>
      </c>
      <c r="C16" s="6" t="s">
        <v>27</v>
      </c>
      <c r="D16" s="7" t="s">
        <v>28</v>
      </c>
      <c r="E16" s="8"/>
      <c r="F16" s="9"/>
      <c r="G16" s="9"/>
    </row>
    <row r="17" ht="15.0" customHeight="1">
      <c r="A17" s="4">
        <v>4.0</v>
      </c>
      <c r="B17" s="5">
        <v>67.0</v>
      </c>
      <c r="C17" s="6" t="s">
        <v>29</v>
      </c>
      <c r="D17" s="7" t="s">
        <v>20</v>
      </c>
      <c r="E17" s="8"/>
      <c r="F17" s="9"/>
      <c r="G17" s="9"/>
    </row>
    <row r="18" ht="15.0" customHeight="1">
      <c r="A18" s="4">
        <v>4.0</v>
      </c>
      <c r="B18" s="5">
        <v>18.0</v>
      </c>
      <c r="C18" s="6" t="s">
        <v>30</v>
      </c>
      <c r="D18" s="7" t="s">
        <v>20</v>
      </c>
      <c r="E18" s="8"/>
      <c r="F18" s="9"/>
      <c r="G18" s="9"/>
    </row>
    <row r="19" ht="15.0" customHeight="1">
      <c r="A19" s="4">
        <v>1.0</v>
      </c>
      <c r="B19" s="5">
        <v>11.0</v>
      </c>
      <c r="C19" s="6" t="s">
        <v>31</v>
      </c>
      <c r="D19" s="7" t="s">
        <v>28</v>
      </c>
      <c r="E19" s="8"/>
      <c r="F19" s="9"/>
      <c r="G19" s="9"/>
    </row>
    <row r="20" ht="15.0" customHeight="1">
      <c r="A20" s="4">
        <v>5.0</v>
      </c>
      <c r="B20" s="5">
        <v>24.0</v>
      </c>
      <c r="C20" s="6" t="s">
        <v>32</v>
      </c>
      <c r="D20" s="7" t="s">
        <v>33</v>
      </c>
      <c r="E20" s="8"/>
      <c r="F20" s="9"/>
      <c r="G20" s="9"/>
    </row>
    <row r="21" ht="15.0" customHeight="1">
      <c r="A21" s="4">
        <v>8.0</v>
      </c>
      <c r="B21" s="5">
        <v>3.0</v>
      </c>
      <c r="C21" s="6" t="s">
        <v>34</v>
      </c>
      <c r="D21" s="7" t="s">
        <v>35</v>
      </c>
      <c r="E21" s="8"/>
      <c r="F21" s="9"/>
      <c r="G21" s="9"/>
    </row>
    <row r="22" ht="15.0" customHeight="1">
      <c r="A22" s="4">
        <v>9.0</v>
      </c>
      <c r="B22" s="5">
        <v>3.0</v>
      </c>
      <c r="C22" s="6" t="s">
        <v>36</v>
      </c>
      <c r="D22" s="7" t="s">
        <v>35</v>
      </c>
      <c r="E22" s="8"/>
      <c r="F22" s="9"/>
      <c r="G22" s="9"/>
    </row>
    <row r="23" ht="15.0" customHeight="1">
      <c r="A23" s="4">
        <v>9.0</v>
      </c>
      <c r="B23" s="5">
        <v>22.0</v>
      </c>
      <c r="C23" s="6" t="s">
        <v>27</v>
      </c>
      <c r="D23" s="7" t="s">
        <v>28</v>
      </c>
      <c r="E23" s="8"/>
      <c r="F23" s="9"/>
      <c r="G23" s="9"/>
    </row>
    <row r="24" ht="15.0" customHeight="1">
      <c r="A24" s="4">
        <v>7.0</v>
      </c>
      <c r="B24" s="5">
        <v>16.0</v>
      </c>
      <c r="C24" s="6" t="s">
        <v>37</v>
      </c>
      <c r="D24" s="7" t="s">
        <v>33</v>
      </c>
      <c r="E24" s="8"/>
      <c r="F24" s="9"/>
      <c r="G24" s="9"/>
    </row>
    <row r="25" ht="15.0" customHeight="1">
      <c r="A25" s="4">
        <v>7.0</v>
      </c>
      <c r="B25" s="5">
        <v>3.0</v>
      </c>
      <c r="C25" s="6" t="s">
        <v>38</v>
      </c>
      <c r="D25" s="7" t="s">
        <v>35</v>
      </c>
      <c r="E25" s="8"/>
      <c r="F25" s="9"/>
      <c r="G25" s="9"/>
    </row>
    <row r="26" ht="15.0" customHeight="1">
      <c r="A26" s="4">
        <v>8.0</v>
      </c>
      <c r="B26" s="5">
        <v>10.0</v>
      </c>
      <c r="C26" s="6" t="s">
        <v>39</v>
      </c>
      <c r="D26" s="7" t="s">
        <v>24</v>
      </c>
      <c r="E26" s="8"/>
      <c r="F26" s="9"/>
      <c r="G26" s="9"/>
    </row>
    <row r="27" ht="15.0" customHeight="1">
      <c r="A27" s="4">
        <v>8.0</v>
      </c>
      <c r="B27" s="5">
        <v>3.0</v>
      </c>
      <c r="C27" s="6" t="s">
        <v>40</v>
      </c>
      <c r="D27" s="7" t="s">
        <v>35</v>
      </c>
      <c r="E27" s="8"/>
      <c r="F27" s="9"/>
      <c r="G27" s="9"/>
    </row>
    <row r="28" ht="15.0" customHeight="1">
      <c r="A28" s="4">
        <v>8.0</v>
      </c>
      <c r="B28" s="5">
        <v>56.0</v>
      </c>
      <c r="C28" s="6" t="s">
        <v>41</v>
      </c>
      <c r="D28" s="7" t="s">
        <v>42</v>
      </c>
      <c r="E28" s="8"/>
      <c r="F28" s="9"/>
      <c r="G28" s="9"/>
    </row>
    <row r="29" ht="15.0" customHeight="1">
      <c r="A29" s="4">
        <v>9.0</v>
      </c>
      <c r="B29" s="5">
        <v>22.0</v>
      </c>
      <c r="C29" s="6" t="s">
        <v>27</v>
      </c>
      <c r="D29" s="7" t="s">
        <v>28</v>
      </c>
      <c r="E29" s="8"/>
      <c r="F29" s="9"/>
      <c r="G29" s="9"/>
    </row>
    <row r="30" ht="15.0" customHeight="1">
      <c r="A30" s="4">
        <v>9.0</v>
      </c>
      <c r="B30" s="5">
        <v>173.0</v>
      </c>
      <c r="C30" s="6" t="s">
        <v>43</v>
      </c>
      <c r="D30" s="7" t="s">
        <v>24</v>
      </c>
      <c r="E30" s="8"/>
      <c r="F30" s="9"/>
      <c r="G30" s="9"/>
    </row>
    <row r="31" ht="15.0" customHeight="1">
      <c r="A31" s="4">
        <v>10.0</v>
      </c>
      <c r="B31" s="5">
        <v>52.0</v>
      </c>
      <c r="C31" s="6" t="s">
        <v>44</v>
      </c>
      <c r="D31" s="7" t="s">
        <v>44</v>
      </c>
      <c r="E31" s="8"/>
      <c r="F31" s="9"/>
      <c r="G31" s="9"/>
    </row>
    <row r="32" ht="15.0" customHeight="1">
      <c r="A32" s="4">
        <v>10.0</v>
      </c>
      <c r="B32" s="5">
        <v>27.0</v>
      </c>
      <c r="C32" s="6" t="s">
        <v>45</v>
      </c>
      <c r="D32" s="7" t="s">
        <v>24</v>
      </c>
      <c r="E32" s="8"/>
      <c r="F32" s="9"/>
      <c r="G32" s="9"/>
    </row>
    <row r="33" ht="15.0" customHeight="1">
      <c r="A33" s="4">
        <v>14.0</v>
      </c>
      <c r="B33" s="5">
        <v>660.0</v>
      </c>
      <c r="C33" s="6" t="s">
        <v>46</v>
      </c>
      <c r="D33" s="7" t="s">
        <v>47</v>
      </c>
      <c r="E33" s="8"/>
      <c r="F33" s="9"/>
      <c r="G33" s="9"/>
    </row>
    <row r="34" ht="15.0" customHeight="1">
      <c r="A34" s="4">
        <v>14.0</v>
      </c>
      <c r="B34" s="5">
        <v>16.0</v>
      </c>
      <c r="C34" s="6" t="s">
        <v>48</v>
      </c>
      <c r="D34" s="7" t="s">
        <v>33</v>
      </c>
      <c r="E34" s="8"/>
      <c r="F34" s="9"/>
      <c r="G34" s="9"/>
    </row>
    <row r="35" ht="15.0" customHeight="1">
      <c r="A35" s="4">
        <v>14.0</v>
      </c>
      <c r="B35" s="5">
        <v>3.0</v>
      </c>
      <c r="C35" s="6" t="s">
        <v>38</v>
      </c>
      <c r="D35" s="7" t="s">
        <v>49</v>
      </c>
      <c r="E35" s="8"/>
      <c r="F35" s="9"/>
      <c r="G35" s="9"/>
    </row>
    <row r="36" ht="15.0" customHeight="1">
      <c r="A36" s="4">
        <v>15.0</v>
      </c>
      <c r="B36" s="5">
        <v>6.0</v>
      </c>
      <c r="C36" s="6" t="s">
        <v>39</v>
      </c>
      <c r="D36" s="7" t="s">
        <v>24</v>
      </c>
      <c r="E36" s="8"/>
      <c r="F36" s="9"/>
      <c r="G36" s="9"/>
    </row>
    <row r="37" ht="15.0" customHeight="1">
      <c r="A37" s="4">
        <v>15.0</v>
      </c>
      <c r="B37" s="5">
        <v>46.0</v>
      </c>
      <c r="C37" s="6" t="s">
        <v>50</v>
      </c>
      <c r="D37" s="7" t="s">
        <v>50</v>
      </c>
      <c r="E37" s="8"/>
      <c r="F37" s="9"/>
      <c r="G37" s="9"/>
    </row>
    <row r="38" ht="15.0" customHeight="1">
      <c r="A38" s="4">
        <v>15.0</v>
      </c>
      <c r="B38" s="5">
        <v>16.0</v>
      </c>
      <c r="C38" s="6" t="s">
        <v>51</v>
      </c>
      <c r="D38" s="7" t="s">
        <v>26</v>
      </c>
      <c r="E38" s="8"/>
      <c r="F38" s="9"/>
      <c r="G38" s="9"/>
    </row>
    <row r="39" ht="15.0" customHeight="1">
      <c r="A39" s="4">
        <v>15.0</v>
      </c>
      <c r="B39" s="5">
        <v>258.0</v>
      </c>
      <c r="C39" s="6" t="s">
        <v>52</v>
      </c>
      <c r="D39" s="7" t="s">
        <v>24</v>
      </c>
      <c r="E39" s="8"/>
      <c r="F39" s="9"/>
      <c r="G39" s="9"/>
    </row>
    <row r="40" ht="15.0" customHeight="1">
      <c r="A40" s="4">
        <v>16.0</v>
      </c>
      <c r="B40" s="5">
        <v>14.0</v>
      </c>
      <c r="C40" s="6" t="s">
        <v>30</v>
      </c>
      <c r="D40" s="7" t="s">
        <v>20</v>
      </c>
      <c r="E40" s="8"/>
      <c r="F40" s="9"/>
      <c r="G40" s="9"/>
    </row>
    <row r="41" ht="15.0" customHeight="1">
      <c r="A41" s="4">
        <v>16.0</v>
      </c>
      <c r="B41" s="5">
        <v>12.0</v>
      </c>
      <c r="C41" s="6" t="s">
        <v>53</v>
      </c>
      <c r="D41" s="7" t="s">
        <v>33</v>
      </c>
      <c r="E41" s="8"/>
      <c r="F41" s="9"/>
      <c r="G41" s="9"/>
    </row>
    <row r="42" ht="15.0" customHeight="1">
      <c r="A42" s="4">
        <v>17.0</v>
      </c>
      <c r="B42" s="5">
        <v>17.0</v>
      </c>
      <c r="C42" s="6" t="s">
        <v>54</v>
      </c>
      <c r="D42" s="7" t="s">
        <v>9</v>
      </c>
      <c r="E42" s="8"/>
      <c r="F42" s="9"/>
      <c r="G42" s="9"/>
    </row>
    <row r="43" ht="15.0" customHeight="1">
      <c r="A43" s="4">
        <v>17.0</v>
      </c>
      <c r="B43" s="5">
        <v>22.0</v>
      </c>
      <c r="C43" s="6" t="s">
        <v>55</v>
      </c>
      <c r="D43" s="7" t="s">
        <v>28</v>
      </c>
      <c r="E43" s="8"/>
      <c r="F43" s="9"/>
      <c r="G43" s="9"/>
    </row>
    <row r="44" ht="15.0" customHeight="1">
      <c r="A44" s="4">
        <v>17.0</v>
      </c>
      <c r="B44" s="5">
        <v>48.0</v>
      </c>
      <c r="C44" s="6" t="s">
        <v>56</v>
      </c>
      <c r="D44" s="7" t="s">
        <v>20</v>
      </c>
      <c r="E44" s="8"/>
      <c r="F44" s="9"/>
      <c r="G44" s="9"/>
    </row>
    <row r="45" ht="15.0" customHeight="1">
      <c r="A45" s="4">
        <v>18.0</v>
      </c>
      <c r="B45" s="5">
        <v>47.0</v>
      </c>
      <c r="C45" s="6" t="s">
        <v>44</v>
      </c>
      <c r="D45" s="7" t="s">
        <v>44</v>
      </c>
      <c r="E45" s="8"/>
      <c r="F45" s="9"/>
      <c r="G45" s="9"/>
    </row>
    <row r="46" ht="15.0" customHeight="1">
      <c r="A46" s="4">
        <v>18.0</v>
      </c>
      <c r="B46" s="5">
        <v>25.0</v>
      </c>
      <c r="C46" s="6" t="s">
        <v>57</v>
      </c>
      <c r="D46" s="7" t="s">
        <v>24</v>
      </c>
      <c r="E46" s="8"/>
      <c r="F46" s="9"/>
      <c r="G46" s="9"/>
    </row>
    <row r="47" ht="15.0" customHeight="1">
      <c r="A47" s="4">
        <v>18.0</v>
      </c>
      <c r="B47" s="5">
        <v>5.0</v>
      </c>
      <c r="C47" s="6" t="s">
        <v>58</v>
      </c>
      <c r="D47" s="7" t="s">
        <v>35</v>
      </c>
      <c r="E47" s="8"/>
      <c r="F47" s="9"/>
      <c r="G47" s="9"/>
    </row>
    <row r="48" ht="15.0" customHeight="1">
      <c r="A48" s="4">
        <v>18.0</v>
      </c>
      <c r="B48" s="5">
        <v>21.0</v>
      </c>
      <c r="C48" s="6" t="s">
        <v>59</v>
      </c>
      <c r="D48" s="7" t="s">
        <v>60</v>
      </c>
      <c r="E48" s="8"/>
      <c r="F48" s="9"/>
      <c r="G48" s="9"/>
    </row>
    <row r="49" ht="15.0" customHeight="1">
      <c r="A49" s="4">
        <v>18.0</v>
      </c>
      <c r="B49" s="5">
        <v>13.0</v>
      </c>
      <c r="C49" s="6" t="s">
        <v>61</v>
      </c>
      <c r="D49" s="7" t="s">
        <v>28</v>
      </c>
      <c r="E49" s="8"/>
      <c r="F49" s="9"/>
      <c r="G49" s="9"/>
    </row>
    <row r="50" ht="15.0" customHeight="1">
      <c r="A50" s="4">
        <v>21.0</v>
      </c>
      <c r="B50" s="5">
        <v>16.0</v>
      </c>
      <c r="C50" s="6" t="s">
        <v>48</v>
      </c>
      <c r="D50" s="7" t="s">
        <v>33</v>
      </c>
      <c r="E50" s="8"/>
      <c r="F50" s="9"/>
      <c r="G50" s="9"/>
    </row>
    <row r="51" ht="15.0" customHeight="1">
      <c r="A51" s="4">
        <v>21.0</v>
      </c>
      <c r="B51" s="5">
        <v>3.0</v>
      </c>
      <c r="C51" s="6" t="s">
        <v>38</v>
      </c>
      <c r="D51" s="7" t="s">
        <v>49</v>
      </c>
      <c r="E51" s="8"/>
      <c r="F51" s="9"/>
      <c r="G51" s="9"/>
    </row>
    <row r="52" ht="15.0" customHeight="1">
      <c r="A52" s="4">
        <v>22.0</v>
      </c>
      <c r="B52" s="5">
        <v>3.0</v>
      </c>
      <c r="C52" s="6" t="s">
        <v>62</v>
      </c>
      <c r="D52" s="7" t="s">
        <v>35</v>
      </c>
      <c r="E52" s="8"/>
      <c r="F52" s="9"/>
      <c r="G52" s="9"/>
    </row>
    <row r="53" ht="15.0" customHeight="1">
      <c r="A53" s="4">
        <v>22.0</v>
      </c>
      <c r="B53" s="5">
        <v>38.0</v>
      </c>
      <c r="C53" s="6" t="s">
        <v>63</v>
      </c>
      <c r="D53" s="7" t="s">
        <v>18</v>
      </c>
      <c r="E53" s="8"/>
      <c r="F53" s="9"/>
      <c r="G53" s="9"/>
    </row>
    <row r="54" ht="15.0" customHeight="1">
      <c r="A54" s="4">
        <v>22.0</v>
      </c>
      <c r="B54" s="5">
        <v>30.0</v>
      </c>
      <c r="C54" s="6" t="s">
        <v>64</v>
      </c>
      <c r="D54" s="7" t="s">
        <v>20</v>
      </c>
      <c r="E54" s="8"/>
      <c r="F54" s="9"/>
      <c r="G54" s="9"/>
    </row>
    <row r="55" ht="15.0" customHeight="1">
      <c r="A55" s="4">
        <v>23.0</v>
      </c>
      <c r="B55" s="5">
        <v>30.0</v>
      </c>
      <c r="C55" s="6" t="s">
        <v>65</v>
      </c>
      <c r="D55" s="7" t="s">
        <v>24</v>
      </c>
      <c r="E55" s="8"/>
      <c r="F55" s="9"/>
      <c r="G55" s="9"/>
    </row>
    <row r="56" ht="15.0" customHeight="1">
      <c r="A56" s="4">
        <v>24.0</v>
      </c>
      <c r="B56" s="5">
        <v>22.0</v>
      </c>
      <c r="C56" s="6" t="s">
        <v>55</v>
      </c>
      <c r="D56" s="7" t="s">
        <v>28</v>
      </c>
      <c r="E56" s="8"/>
      <c r="F56" s="9"/>
      <c r="G56" s="9"/>
    </row>
    <row r="57" ht="15.0" customHeight="1">
      <c r="A57" s="4">
        <v>24.0</v>
      </c>
      <c r="B57" s="5">
        <v>3.0</v>
      </c>
      <c r="C57" s="6" t="s">
        <v>66</v>
      </c>
      <c r="D57" s="7" t="s">
        <v>18</v>
      </c>
      <c r="E57" s="8"/>
      <c r="F57" s="9"/>
      <c r="G57" s="9"/>
    </row>
    <row r="58" ht="15.0" customHeight="1">
      <c r="A58" s="4">
        <v>24.0</v>
      </c>
      <c r="B58" s="5">
        <v>76.0</v>
      </c>
      <c r="C58" s="6" t="s">
        <v>67</v>
      </c>
      <c r="D58" s="7" t="s">
        <v>33</v>
      </c>
      <c r="E58" s="8"/>
      <c r="F58" s="9"/>
      <c r="G58" s="9"/>
    </row>
    <row r="59" ht="15.0" customHeight="1">
      <c r="A59" s="4">
        <v>24.0</v>
      </c>
      <c r="B59" s="5">
        <v>7.0</v>
      </c>
      <c r="C59" s="6" t="s">
        <v>68</v>
      </c>
      <c r="D59" s="7" t="s">
        <v>24</v>
      </c>
      <c r="E59" s="8"/>
      <c r="F59" s="9"/>
      <c r="G59" s="9"/>
    </row>
    <row r="60" ht="15.0" customHeight="1">
      <c r="A60" s="4">
        <v>24.0</v>
      </c>
      <c r="B60" s="5">
        <v>18.0</v>
      </c>
      <c r="C60" s="6" t="s">
        <v>69</v>
      </c>
      <c r="D60" s="7" t="s">
        <v>24</v>
      </c>
      <c r="E60" s="8"/>
      <c r="F60" s="9"/>
      <c r="G60" s="9"/>
    </row>
    <row r="61" ht="15.0" customHeight="1">
      <c r="A61" s="4">
        <v>25.0</v>
      </c>
      <c r="B61" s="5">
        <v>53</v>
      </c>
      <c r="C61" s="6" t="s">
        <v>70</v>
      </c>
      <c r="D61" s="7" t="s">
        <v>44</v>
      </c>
      <c r="E61" s="8"/>
      <c r="F61" s="9"/>
      <c r="G61" s="9"/>
    </row>
    <row r="62" ht="15.0" customHeight="1">
      <c r="A62" s="4">
        <v>25.0</v>
      </c>
      <c r="B62" s="5">
        <v>17.0</v>
      </c>
      <c r="C62" s="6" t="s">
        <v>57</v>
      </c>
      <c r="D62" s="7" t="s">
        <v>24</v>
      </c>
      <c r="E62" s="8"/>
      <c r="F62" s="9"/>
      <c r="G62" s="9"/>
    </row>
    <row r="63" ht="15.0" customHeight="1">
      <c r="A63" s="4">
        <v>25.0</v>
      </c>
      <c r="B63" s="5">
        <v>13.0</v>
      </c>
      <c r="C63" s="6" t="s">
        <v>71</v>
      </c>
      <c r="D63" s="7" t="s">
        <v>28</v>
      </c>
      <c r="E63" s="8"/>
      <c r="F63" s="9"/>
      <c r="G63" s="9"/>
    </row>
    <row r="64" ht="15.0" customHeight="1">
      <c r="A64" s="4">
        <v>25.0</v>
      </c>
      <c r="B64" s="5">
        <v>21.0</v>
      </c>
      <c r="C64" s="6" t="s">
        <v>59</v>
      </c>
      <c r="D64" s="7" t="s">
        <v>60</v>
      </c>
      <c r="E64" s="8"/>
      <c r="F64" s="9"/>
      <c r="G64" s="9"/>
    </row>
    <row r="65" ht="15.0" customHeight="1">
      <c r="A65" s="4">
        <v>27.0</v>
      </c>
      <c r="B65" s="5">
        <v>33.0</v>
      </c>
      <c r="C65" s="6" t="s">
        <v>72</v>
      </c>
      <c r="D65" s="7" t="s">
        <v>9</v>
      </c>
      <c r="E65" s="8">
        <f t="shared" ref="E65:E100" si="4">if(and(F65,G65),1,2)</f>
        <v>2</v>
      </c>
      <c r="F65" s="9" t="b">
        <f t="shared" ref="F65:F100" si="5">ISBLANK(D65)</f>
        <v>0</v>
      </c>
      <c r="G65" s="9" t="b">
        <f t="shared" ref="G65:G100" si="6">ISNUMBER(B65)</f>
        <v>1</v>
      </c>
    </row>
    <row r="66" ht="15.0" customHeight="1">
      <c r="A66" s="4">
        <v>28.0</v>
      </c>
      <c r="B66" s="5">
        <v>80.0</v>
      </c>
      <c r="C66" s="6" t="s">
        <v>73</v>
      </c>
      <c r="D66" s="7" t="s">
        <v>49</v>
      </c>
      <c r="E66" s="8">
        <f t="shared" si="4"/>
        <v>2</v>
      </c>
      <c r="F66" s="9" t="b">
        <f t="shared" si="5"/>
        <v>0</v>
      </c>
      <c r="G66" s="9" t="b">
        <f t="shared" si="6"/>
        <v>1</v>
      </c>
    </row>
    <row r="67" ht="15.0" customHeight="1">
      <c r="A67" s="4">
        <v>28.0</v>
      </c>
      <c r="B67" s="5">
        <v>16.0</v>
      </c>
      <c r="C67" s="6" t="s">
        <v>48</v>
      </c>
      <c r="D67" s="7" t="s">
        <v>33</v>
      </c>
      <c r="E67" s="8">
        <f t="shared" si="4"/>
        <v>2</v>
      </c>
      <c r="F67" s="9" t="b">
        <f t="shared" si="5"/>
        <v>0</v>
      </c>
      <c r="G67" s="9" t="b">
        <f t="shared" si="6"/>
        <v>1</v>
      </c>
    </row>
    <row r="68" ht="15.0" customHeight="1">
      <c r="A68" s="4">
        <v>28.0</v>
      </c>
      <c r="B68" s="5">
        <v>3.0</v>
      </c>
      <c r="C68" s="6" t="s">
        <v>38</v>
      </c>
      <c r="D68" s="7" t="s">
        <v>49</v>
      </c>
      <c r="E68" s="8">
        <f t="shared" si="4"/>
        <v>2</v>
      </c>
      <c r="F68" s="9" t="b">
        <f t="shared" si="5"/>
        <v>0</v>
      </c>
      <c r="G68" s="9" t="b">
        <f t="shared" si="6"/>
        <v>1</v>
      </c>
    </row>
    <row r="69" ht="15.0" customHeight="1">
      <c r="A69" s="4">
        <v>25.0</v>
      </c>
      <c r="B69" s="5">
        <v>31.0</v>
      </c>
      <c r="C69" s="6" t="s">
        <v>74</v>
      </c>
      <c r="D69" s="7" t="s">
        <v>20</v>
      </c>
      <c r="E69" s="8">
        <f t="shared" si="4"/>
        <v>2</v>
      </c>
      <c r="F69" s="9" t="b">
        <f t="shared" si="5"/>
        <v>0</v>
      </c>
      <c r="G69" s="9" t="b">
        <f t="shared" si="6"/>
        <v>1</v>
      </c>
    </row>
    <row r="70" ht="15.0" customHeight="1">
      <c r="A70" s="4">
        <v>27.0</v>
      </c>
      <c r="B70" s="5">
        <v>9.0</v>
      </c>
      <c r="C70" s="6" t="s">
        <v>75</v>
      </c>
      <c r="D70" s="7" t="s">
        <v>28</v>
      </c>
      <c r="E70" s="8">
        <f t="shared" si="4"/>
        <v>2</v>
      </c>
      <c r="F70" s="9" t="b">
        <f t="shared" si="5"/>
        <v>0</v>
      </c>
      <c r="G70" s="9" t="b">
        <f t="shared" si="6"/>
        <v>1</v>
      </c>
    </row>
    <row r="71" ht="15.0" customHeight="1">
      <c r="A71" s="4">
        <v>29.0</v>
      </c>
      <c r="B71" s="5">
        <v>34.0</v>
      </c>
      <c r="C71" s="6" t="s">
        <v>76</v>
      </c>
      <c r="D71" s="7" t="s">
        <v>20</v>
      </c>
      <c r="E71" s="8">
        <f t="shared" si="4"/>
        <v>2</v>
      </c>
      <c r="F71" s="9" t="b">
        <f t="shared" si="5"/>
        <v>0</v>
      </c>
      <c r="G71" s="9" t="b">
        <f t="shared" si="6"/>
        <v>1</v>
      </c>
    </row>
    <row r="72" ht="15.0" customHeight="1">
      <c r="A72" s="4">
        <v>29.0</v>
      </c>
      <c r="B72" s="5">
        <v>14.0</v>
      </c>
      <c r="C72" s="6" t="s">
        <v>77</v>
      </c>
      <c r="D72" s="7" t="s">
        <v>33</v>
      </c>
      <c r="E72" s="8">
        <f t="shared" si="4"/>
        <v>2</v>
      </c>
      <c r="F72" s="9" t="b">
        <f t="shared" si="5"/>
        <v>0</v>
      </c>
      <c r="G72" s="9" t="b">
        <f t="shared" si="6"/>
        <v>1</v>
      </c>
    </row>
    <row r="73" ht="15.0" customHeight="1">
      <c r="A73" s="4">
        <v>29.0</v>
      </c>
      <c r="B73" s="5">
        <v>185.0</v>
      </c>
      <c r="C73" s="6" t="s">
        <v>78</v>
      </c>
      <c r="D73" s="7" t="s">
        <v>24</v>
      </c>
      <c r="E73" s="8">
        <f t="shared" si="4"/>
        <v>2</v>
      </c>
      <c r="F73" s="9" t="b">
        <f t="shared" si="5"/>
        <v>0</v>
      </c>
      <c r="G73" s="9" t="b">
        <f t="shared" si="6"/>
        <v>1</v>
      </c>
    </row>
    <row r="74" ht="15.0" customHeight="1">
      <c r="A74" s="4">
        <v>30.0</v>
      </c>
      <c r="B74" s="5">
        <v>56.0</v>
      </c>
      <c r="C74" s="6" t="s">
        <v>41</v>
      </c>
      <c r="D74" s="7" t="s">
        <v>42</v>
      </c>
      <c r="E74" s="8">
        <f t="shared" si="4"/>
        <v>2</v>
      </c>
      <c r="F74" s="9" t="b">
        <f t="shared" si="5"/>
        <v>0</v>
      </c>
      <c r="G74" s="9" t="b">
        <f t="shared" si="6"/>
        <v>1</v>
      </c>
    </row>
    <row r="75" ht="15.0" customHeight="1">
      <c r="A75" s="4">
        <v>30.0</v>
      </c>
      <c r="B75" s="5">
        <v>7</v>
      </c>
      <c r="C75" s="6" t="s">
        <v>79</v>
      </c>
      <c r="D75" s="7" t="s">
        <v>9</v>
      </c>
      <c r="E75" s="8">
        <f t="shared" si="4"/>
        <v>2</v>
      </c>
      <c r="F75" s="9" t="b">
        <f t="shared" si="5"/>
        <v>0</v>
      </c>
      <c r="G75" s="9" t="b">
        <f t="shared" si="6"/>
        <v>1</v>
      </c>
    </row>
    <row r="76" ht="15.0" customHeight="1">
      <c r="A76" s="4">
        <v>31.0</v>
      </c>
      <c r="B76" s="5">
        <v>22.0</v>
      </c>
      <c r="C76" s="6" t="s">
        <v>55</v>
      </c>
      <c r="D76" s="7" t="s">
        <v>80</v>
      </c>
      <c r="E76" s="8">
        <f t="shared" si="4"/>
        <v>2</v>
      </c>
      <c r="F76" s="9" t="b">
        <f t="shared" si="5"/>
        <v>0</v>
      </c>
      <c r="G76" s="9" t="b">
        <f t="shared" si="6"/>
        <v>1</v>
      </c>
    </row>
    <row r="77" ht="15.0" customHeight="1">
      <c r="A77" s="4">
        <v>31.0</v>
      </c>
      <c r="B77" s="5">
        <v>50.0</v>
      </c>
      <c r="C77" s="6" t="s">
        <v>44</v>
      </c>
      <c r="D77" s="7" t="s">
        <v>44</v>
      </c>
      <c r="E77" s="8">
        <f t="shared" si="4"/>
        <v>2</v>
      </c>
      <c r="F77" s="9" t="b">
        <f t="shared" si="5"/>
        <v>0</v>
      </c>
      <c r="G77" s="9" t="b">
        <f t="shared" si="6"/>
        <v>1</v>
      </c>
    </row>
    <row r="78" ht="15.0" customHeight="1">
      <c r="A78" s="4"/>
      <c r="B78" s="5"/>
      <c r="C78" s="6"/>
      <c r="D78" s="10"/>
      <c r="E78" s="8">
        <f t="shared" si="4"/>
        <v>2</v>
      </c>
      <c r="F78" s="9" t="b">
        <f t="shared" si="5"/>
        <v>1</v>
      </c>
      <c r="G78" s="9" t="b">
        <f t="shared" si="6"/>
        <v>0</v>
      </c>
    </row>
    <row r="79" ht="15.0" customHeight="1">
      <c r="A79" s="4"/>
      <c r="B79" s="5"/>
      <c r="C79" s="6"/>
      <c r="D79" s="10"/>
      <c r="E79" s="8">
        <f t="shared" si="4"/>
        <v>2</v>
      </c>
      <c r="F79" s="9" t="b">
        <f t="shared" si="5"/>
        <v>1</v>
      </c>
      <c r="G79" s="9" t="b">
        <f t="shared" si="6"/>
        <v>0</v>
      </c>
    </row>
    <row r="80" ht="15.0" customHeight="1">
      <c r="A80" s="4"/>
      <c r="B80" s="5"/>
      <c r="C80" s="6"/>
      <c r="D80" s="10"/>
      <c r="E80" s="8">
        <f t="shared" si="4"/>
        <v>2</v>
      </c>
      <c r="F80" s="9" t="b">
        <f t="shared" si="5"/>
        <v>1</v>
      </c>
      <c r="G80" s="9" t="b">
        <f t="shared" si="6"/>
        <v>0</v>
      </c>
    </row>
    <row r="81" ht="15.0" customHeight="1">
      <c r="A81" s="4"/>
      <c r="B81" s="5"/>
      <c r="C81" s="6"/>
      <c r="D81" s="10"/>
      <c r="E81" s="8">
        <f t="shared" si="4"/>
        <v>2</v>
      </c>
      <c r="F81" s="9" t="b">
        <f t="shared" si="5"/>
        <v>1</v>
      </c>
      <c r="G81" s="9" t="b">
        <f t="shared" si="6"/>
        <v>0</v>
      </c>
    </row>
    <row r="82" ht="15.0" customHeight="1">
      <c r="A82" s="4"/>
      <c r="B82" s="5"/>
      <c r="C82" s="6"/>
      <c r="D82" s="10"/>
      <c r="E82" s="8">
        <f t="shared" si="4"/>
        <v>2</v>
      </c>
      <c r="F82" s="9" t="b">
        <f t="shared" si="5"/>
        <v>1</v>
      </c>
      <c r="G82" s="9" t="b">
        <f t="shared" si="6"/>
        <v>0</v>
      </c>
    </row>
    <row r="83" ht="15.0" customHeight="1">
      <c r="A83" s="4"/>
      <c r="B83" s="5"/>
      <c r="C83" s="6"/>
      <c r="D83" s="10"/>
      <c r="E83" s="8">
        <f t="shared" si="4"/>
        <v>2</v>
      </c>
      <c r="F83" s="9" t="b">
        <f t="shared" si="5"/>
        <v>1</v>
      </c>
      <c r="G83" s="9" t="b">
        <f t="shared" si="6"/>
        <v>0</v>
      </c>
    </row>
    <row r="84" ht="15.0" customHeight="1">
      <c r="A84" s="4"/>
      <c r="B84" s="5"/>
      <c r="C84" s="6"/>
      <c r="D84" s="10"/>
      <c r="E84" s="8">
        <f t="shared" si="4"/>
        <v>2</v>
      </c>
      <c r="F84" s="9" t="b">
        <f t="shared" si="5"/>
        <v>1</v>
      </c>
      <c r="G84" s="9" t="b">
        <f t="shared" si="6"/>
        <v>0</v>
      </c>
    </row>
    <row r="85" ht="15.0" customHeight="1">
      <c r="A85" s="4"/>
      <c r="B85" s="5"/>
      <c r="C85" s="6"/>
      <c r="D85" s="10"/>
      <c r="E85" s="8">
        <f t="shared" si="4"/>
        <v>2</v>
      </c>
      <c r="F85" s="9" t="b">
        <f t="shared" si="5"/>
        <v>1</v>
      </c>
      <c r="G85" s="9" t="b">
        <f t="shared" si="6"/>
        <v>0</v>
      </c>
    </row>
    <row r="86" ht="15.0" customHeight="1">
      <c r="A86" s="4"/>
      <c r="B86" s="5"/>
      <c r="C86" s="6"/>
      <c r="D86" s="10"/>
      <c r="E86" s="8">
        <f t="shared" si="4"/>
        <v>2</v>
      </c>
      <c r="F86" s="9" t="b">
        <f t="shared" si="5"/>
        <v>1</v>
      </c>
      <c r="G86" s="9" t="b">
        <f t="shared" si="6"/>
        <v>0</v>
      </c>
    </row>
    <row r="87" ht="15.0" customHeight="1">
      <c r="A87" s="4"/>
      <c r="B87" s="5"/>
      <c r="C87" s="6"/>
      <c r="D87" s="10"/>
      <c r="E87" s="8">
        <f t="shared" si="4"/>
        <v>2</v>
      </c>
      <c r="F87" s="9" t="b">
        <f t="shared" si="5"/>
        <v>1</v>
      </c>
      <c r="G87" s="9" t="b">
        <f t="shared" si="6"/>
        <v>0</v>
      </c>
    </row>
    <row r="88" ht="15.0" customHeight="1">
      <c r="A88" s="4"/>
      <c r="B88" s="5"/>
      <c r="C88" s="6"/>
      <c r="D88" s="10"/>
      <c r="E88" s="8">
        <f t="shared" si="4"/>
        <v>2</v>
      </c>
      <c r="F88" s="9" t="b">
        <f t="shared" si="5"/>
        <v>1</v>
      </c>
      <c r="G88" s="9" t="b">
        <f t="shared" si="6"/>
        <v>0</v>
      </c>
    </row>
    <row r="89" ht="15.0" customHeight="1">
      <c r="A89" s="4"/>
      <c r="B89" s="5"/>
      <c r="C89" s="6"/>
      <c r="D89" s="10"/>
      <c r="E89" s="8">
        <f t="shared" si="4"/>
        <v>2</v>
      </c>
      <c r="F89" s="9" t="b">
        <f t="shared" si="5"/>
        <v>1</v>
      </c>
      <c r="G89" s="9" t="b">
        <f t="shared" si="6"/>
        <v>0</v>
      </c>
    </row>
    <row r="90" ht="15.0" customHeight="1">
      <c r="A90" s="4"/>
      <c r="B90" s="5"/>
      <c r="C90" s="6"/>
      <c r="D90" s="10"/>
      <c r="E90" s="8">
        <f t="shared" si="4"/>
        <v>2</v>
      </c>
      <c r="F90" s="9" t="b">
        <f t="shared" si="5"/>
        <v>1</v>
      </c>
      <c r="G90" s="9" t="b">
        <f t="shared" si="6"/>
        <v>0</v>
      </c>
    </row>
    <row r="91" ht="15.0" customHeight="1">
      <c r="A91" s="4"/>
      <c r="B91" s="5"/>
      <c r="C91" s="6"/>
      <c r="D91" s="10"/>
      <c r="E91" s="8">
        <f t="shared" si="4"/>
        <v>2</v>
      </c>
      <c r="F91" s="9" t="b">
        <f t="shared" si="5"/>
        <v>1</v>
      </c>
      <c r="G91" s="9" t="b">
        <f t="shared" si="6"/>
        <v>0</v>
      </c>
    </row>
    <row r="92" ht="15.0" customHeight="1">
      <c r="A92" s="4"/>
      <c r="B92" s="5"/>
      <c r="C92" s="6"/>
      <c r="D92" s="10"/>
      <c r="E92" s="8">
        <f t="shared" si="4"/>
        <v>2</v>
      </c>
      <c r="F92" s="9" t="b">
        <f t="shared" si="5"/>
        <v>1</v>
      </c>
      <c r="G92" s="9" t="b">
        <f t="shared" si="6"/>
        <v>0</v>
      </c>
    </row>
    <row r="93" ht="15.0" customHeight="1">
      <c r="A93" s="4"/>
      <c r="B93" s="5"/>
      <c r="C93" s="6"/>
      <c r="D93" s="10"/>
      <c r="E93" s="8">
        <f t="shared" si="4"/>
        <v>2</v>
      </c>
      <c r="F93" s="9" t="b">
        <f t="shared" si="5"/>
        <v>1</v>
      </c>
      <c r="G93" s="9" t="b">
        <f t="shared" si="6"/>
        <v>0</v>
      </c>
    </row>
    <row r="94" ht="15.0" customHeight="1">
      <c r="A94" s="4"/>
      <c r="B94" s="5"/>
      <c r="C94" s="6"/>
      <c r="D94" s="10"/>
      <c r="E94" s="8">
        <f t="shared" si="4"/>
        <v>2</v>
      </c>
      <c r="F94" s="9" t="b">
        <f t="shared" si="5"/>
        <v>1</v>
      </c>
      <c r="G94" s="9" t="b">
        <f t="shared" si="6"/>
        <v>0</v>
      </c>
    </row>
    <row r="95" ht="15.0" customHeight="1">
      <c r="A95" s="4"/>
      <c r="B95" s="5"/>
      <c r="C95" s="6"/>
      <c r="D95" s="10"/>
      <c r="E95" s="8">
        <f t="shared" si="4"/>
        <v>2</v>
      </c>
      <c r="F95" s="9" t="b">
        <f t="shared" si="5"/>
        <v>1</v>
      </c>
      <c r="G95" s="9" t="b">
        <f t="shared" si="6"/>
        <v>0</v>
      </c>
    </row>
    <row r="96" ht="15.0" customHeight="1">
      <c r="A96" s="4"/>
      <c r="B96" s="5"/>
      <c r="C96" s="6"/>
      <c r="D96" s="10"/>
      <c r="E96" s="8">
        <f t="shared" si="4"/>
        <v>2</v>
      </c>
      <c r="F96" s="9" t="b">
        <f t="shared" si="5"/>
        <v>1</v>
      </c>
      <c r="G96" s="9" t="b">
        <f t="shared" si="6"/>
        <v>0</v>
      </c>
    </row>
    <row r="97" ht="15.0" customHeight="1">
      <c r="A97" s="4"/>
      <c r="B97" s="5"/>
      <c r="C97" s="6"/>
      <c r="D97" s="10"/>
      <c r="E97" s="8">
        <f t="shared" si="4"/>
        <v>2</v>
      </c>
      <c r="F97" s="9" t="b">
        <f t="shared" si="5"/>
        <v>1</v>
      </c>
      <c r="G97" s="9" t="b">
        <f t="shared" si="6"/>
        <v>0</v>
      </c>
    </row>
    <row r="98" ht="15.0" customHeight="1">
      <c r="A98" s="4"/>
      <c r="B98" s="5"/>
      <c r="C98" s="6"/>
      <c r="D98" s="10"/>
      <c r="E98" s="8">
        <f t="shared" si="4"/>
        <v>2</v>
      </c>
      <c r="F98" s="9" t="b">
        <f t="shared" si="5"/>
        <v>1</v>
      </c>
      <c r="G98" s="9" t="b">
        <f t="shared" si="6"/>
        <v>0</v>
      </c>
    </row>
    <row r="99" ht="15.0" customHeight="1">
      <c r="A99" s="4"/>
      <c r="B99" s="5"/>
      <c r="C99" s="6"/>
      <c r="D99" s="10"/>
      <c r="E99" s="8">
        <f t="shared" si="4"/>
        <v>2</v>
      </c>
      <c r="F99" s="9" t="b">
        <f t="shared" si="5"/>
        <v>1</v>
      </c>
      <c r="G99" s="9" t="b">
        <f t="shared" si="6"/>
        <v>0</v>
      </c>
    </row>
    <row r="100" ht="15.0" customHeight="1">
      <c r="A100" s="4"/>
      <c r="B100" s="5"/>
      <c r="C100" s="6"/>
      <c r="D100" s="10"/>
      <c r="E100" s="8">
        <f t="shared" si="4"/>
        <v>2</v>
      </c>
      <c r="F100" s="9" t="b">
        <f t="shared" si="5"/>
        <v>1</v>
      </c>
      <c r="G100" s="9" t="b">
        <f t="shared" si="6"/>
        <v>0</v>
      </c>
    </row>
    <row r="101">
      <c r="A101" s="11"/>
      <c r="B101" s="11"/>
      <c r="C101" s="11"/>
      <c r="D101" s="11"/>
      <c r="E101" s="11"/>
    </row>
    <row r="102">
      <c r="A102" s="11"/>
      <c r="B102" s="11"/>
      <c r="C102" s="11"/>
      <c r="D102" s="11"/>
      <c r="E102" s="11"/>
    </row>
    <row r="103">
      <c r="A103" s="11"/>
      <c r="B103" s="11"/>
      <c r="C103" s="11"/>
      <c r="D103" s="11"/>
      <c r="E103" s="11"/>
    </row>
    <row r="104">
      <c r="A104" s="11"/>
      <c r="B104" s="11"/>
      <c r="C104" s="11"/>
      <c r="D104" s="11"/>
      <c r="E104" s="11"/>
    </row>
    <row r="105">
      <c r="A105" s="11"/>
      <c r="B105" s="11"/>
      <c r="C105" s="11"/>
      <c r="D105" s="11"/>
      <c r="E105" s="11"/>
    </row>
    <row r="106">
      <c r="A106" s="11"/>
      <c r="B106" s="11"/>
      <c r="C106" s="11"/>
      <c r="D106" s="11"/>
      <c r="E106" s="11"/>
    </row>
    <row r="107">
      <c r="A107" s="11"/>
      <c r="B107" s="11"/>
      <c r="C107" s="11"/>
      <c r="D107" s="11"/>
      <c r="E107" s="11"/>
    </row>
    <row r="108">
      <c r="A108" s="11"/>
      <c r="B108" s="11"/>
      <c r="C108" s="11"/>
      <c r="D108" s="11"/>
      <c r="E108" s="11"/>
    </row>
    <row r="109">
      <c r="A109" s="11"/>
      <c r="B109" s="11"/>
      <c r="C109" s="11"/>
      <c r="D109" s="11"/>
      <c r="E109" s="11"/>
    </row>
    <row r="110">
      <c r="A110" s="11"/>
      <c r="B110" s="11"/>
      <c r="C110" s="11"/>
      <c r="D110" s="11"/>
      <c r="E110" s="11"/>
    </row>
    <row r="111">
      <c r="A111" s="11"/>
      <c r="B111" s="11"/>
      <c r="C111" s="11"/>
      <c r="D111" s="11"/>
      <c r="E111" s="11"/>
    </row>
    <row r="112">
      <c r="A112" s="11"/>
      <c r="B112" s="11"/>
      <c r="C112" s="11"/>
      <c r="D112" s="11"/>
      <c r="E112" s="11"/>
    </row>
    <row r="113">
      <c r="A113" s="11"/>
      <c r="B113" s="11"/>
      <c r="C113" s="11"/>
      <c r="D113" s="11"/>
      <c r="E113" s="11"/>
    </row>
    <row r="114">
      <c r="A114" s="11"/>
      <c r="B114" s="11"/>
      <c r="C114" s="11"/>
      <c r="D114" s="11"/>
      <c r="E114" s="11"/>
    </row>
    <row r="115">
      <c r="A115" s="11"/>
      <c r="B115" s="11"/>
      <c r="C115" s="11"/>
      <c r="D115" s="11"/>
      <c r="E115" s="11"/>
    </row>
    <row r="116">
      <c r="A116" s="11"/>
      <c r="B116" s="11"/>
      <c r="C116" s="11"/>
      <c r="D116" s="11"/>
      <c r="E116" s="11"/>
    </row>
    <row r="117">
      <c r="A117" s="11"/>
      <c r="B117" s="11"/>
      <c r="C117" s="11"/>
      <c r="D117" s="11"/>
      <c r="E117" s="11"/>
    </row>
    <row r="118">
      <c r="A118" s="11"/>
      <c r="B118" s="11"/>
      <c r="C118" s="11"/>
      <c r="D118" s="11"/>
      <c r="E118" s="11"/>
    </row>
    <row r="119">
      <c r="A119" s="11"/>
      <c r="B119" s="11"/>
      <c r="C119" s="11"/>
      <c r="D119" s="11"/>
      <c r="E119" s="11"/>
    </row>
    <row r="120">
      <c r="A120" s="11"/>
      <c r="B120" s="11"/>
      <c r="C120" s="11"/>
      <c r="D120" s="11"/>
      <c r="E120" s="11"/>
    </row>
    <row r="121">
      <c r="A121" s="11"/>
      <c r="B121" s="11"/>
      <c r="C121" s="11"/>
      <c r="D121" s="11"/>
      <c r="E121" s="11"/>
    </row>
    <row r="122">
      <c r="A122" s="11"/>
      <c r="B122" s="11"/>
      <c r="C122" s="11"/>
      <c r="D122" s="11"/>
      <c r="E122" s="11"/>
    </row>
    <row r="123">
      <c r="A123" s="11"/>
      <c r="B123" s="11"/>
      <c r="C123" s="11"/>
      <c r="D123" s="11"/>
      <c r="E123" s="11"/>
    </row>
    <row r="124">
      <c r="A124" s="11"/>
      <c r="B124" s="11"/>
      <c r="C124" s="11"/>
      <c r="D124" s="11"/>
      <c r="E124" s="11"/>
    </row>
    <row r="125">
      <c r="A125" s="11"/>
      <c r="B125" s="11"/>
      <c r="C125" s="11"/>
      <c r="D125" s="11"/>
      <c r="E125" s="11"/>
    </row>
    <row r="126">
      <c r="A126" s="11"/>
      <c r="B126" s="11"/>
      <c r="C126" s="11"/>
      <c r="D126" s="11"/>
      <c r="E126" s="11"/>
    </row>
    <row r="127">
      <c r="A127" s="11"/>
      <c r="B127" s="11"/>
      <c r="C127" s="11"/>
      <c r="D127" s="11"/>
      <c r="E127" s="11"/>
    </row>
    <row r="128">
      <c r="A128" s="11"/>
      <c r="B128" s="11"/>
      <c r="C128" s="11"/>
      <c r="D128" s="11"/>
      <c r="E128" s="11"/>
    </row>
    <row r="129">
      <c r="A129" s="11"/>
      <c r="B129" s="11"/>
      <c r="C129" s="11"/>
      <c r="D129" s="11"/>
      <c r="E129" s="11"/>
    </row>
    <row r="130">
      <c r="A130" s="11"/>
      <c r="B130" s="11"/>
      <c r="C130" s="11"/>
      <c r="D130" s="11"/>
      <c r="E130" s="11"/>
    </row>
    <row r="131">
      <c r="A131" s="11"/>
      <c r="B131" s="11"/>
      <c r="C131" s="11"/>
      <c r="D131" s="11"/>
      <c r="E131" s="11"/>
    </row>
    <row r="132">
      <c r="A132" s="11"/>
      <c r="B132" s="11"/>
      <c r="C132" s="11"/>
      <c r="D132" s="11"/>
      <c r="E132" s="11"/>
    </row>
    <row r="133">
      <c r="A133" s="11"/>
      <c r="B133" s="11"/>
      <c r="C133" s="11"/>
      <c r="D133" s="11"/>
      <c r="E133" s="11"/>
    </row>
    <row r="134">
      <c r="A134" s="11"/>
      <c r="B134" s="11"/>
      <c r="C134" s="11"/>
      <c r="D134" s="11"/>
      <c r="E134" s="11"/>
    </row>
    <row r="135">
      <c r="A135" s="11"/>
      <c r="B135" s="11"/>
      <c r="C135" s="11"/>
      <c r="D135" s="11"/>
      <c r="E135" s="11"/>
    </row>
    <row r="136">
      <c r="A136" s="11"/>
      <c r="B136" s="11"/>
      <c r="C136" s="11"/>
      <c r="D136" s="11"/>
      <c r="E136" s="11"/>
    </row>
    <row r="137">
      <c r="A137" s="11"/>
      <c r="B137" s="11"/>
      <c r="C137" s="11"/>
      <c r="D137" s="11"/>
      <c r="E137" s="11"/>
    </row>
    <row r="138">
      <c r="A138" s="11"/>
      <c r="B138" s="11"/>
      <c r="C138" s="11"/>
      <c r="D138" s="11"/>
      <c r="E138" s="11"/>
    </row>
    <row r="139">
      <c r="A139" s="11"/>
      <c r="B139" s="11"/>
      <c r="C139" s="11"/>
      <c r="D139" s="11"/>
      <c r="E139" s="11"/>
    </row>
    <row r="140">
      <c r="A140" s="11"/>
      <c r="B140" s="11"/>
      <c r="C140" s="11"/>
      <c r="D140" s="11"/>
      <c r="E140" s="11"/>
    </row>
    <row r="141">
      <c r="A141" s="11"/>
      <c r="B141" s="11"/>
      <c r="C141" s="11"/>
      <c r="D141" s="11"/>
      <c r="E141" s="11"/>
    </row>
    <row r="142">
      <c r="A142" s="11"/>
      <c r="B142" s="11"/>
      <c r="C142" s="11"/>
      <c r="D142" s="11"/>
      <c r="E142" s="11"/>
    </row>
    <row r="143">
      <c r="A143" s="11"/>
      <c r="B143" s="11"/>
      <c r="C143" s="11"/>
      <c r="D143" s="11"/>
      <c r="E143" s="11"/>
    </row>
    <row r="144">
      <c r="A144" s="11"/>
      <c r="B144" s="11"/>
      <c r="C144" s="11"/>
      <c r="D144" s="11"/>
      <c r="E144" s="11"/>
    </row>
    <row r="145">
      <c r="A145" s="11"/>
      <c r="B145" s="11"/>
      <c r="C145" s="11"/>
      <c r="D145" s="11"/>
      <c r="E145" s="11"/>
    </row>
    <row r="146">
      <c r="A146" s="11"/>
      <c r="B146" s="11"/>
      <c r="C146" s="11"/>
      <c r="D146" s="11"/>
      <c r="E146" s="11"/>
    </row>
    <row r="147">
      <c r="A147" s="11"/>
      <c r="B147" s="11"/>
      <c r="C147" s="11"/>
      <c r="D147" s="11"/>
      <c r="E147" s="11"/>
    </row>
    <row r="148">
      <c r="A148" s="11"/>
      <c r="B148" s="11"/>
      <c r="C148" s="11"/>
      <c r="D148" s="11"/>
      <c r="E148" s="11"/>
    </row>
    <row r="149">
      <c r="A149" s="11"/>
      <c r="B149" s="11"/>
      <c r="C149" s="11"/>
      <c r="D149" s="11"/>
      <c r="E149" s="11"/>
    </row>
    <row r="150">
      <c r="A150" s="11"/>
      <c r="B150" s="11"/>
      <c r="C150" s="11"/>
      <c r="D150" s="11"/>
      <c r="E150" s="11"/>
    </row>
    <row r="151">
      <c r="A151" s="11"/>
      <c r="B151" s="11"/>
      <c r="C151" s="11"/>
      <c r="D151" s="11"/>
      <c r="E151" s="11"/>
    </row>
    <row r="152">
      <c r="A152" s="11"/>
      <c r="B152" s="11"/>
      <c r="C152" s="11"/>
      <c r="D152" s="11"/>
      <c r="E152" s="11"/>
    </row>
    <row r="153">
      <c r="A153" s="11"/>
      <c r="B153" s="11"/>
      <c r="C153" s="11"/>
      <c r="D153" s="11"/>
      <c r="E153" s="11"/>
    </row>
    <row r="154">
      <c r="A154" s="11"/>
      <c r="B154" s="11"/>
      <c r="C154" s="11"/>
      <c r="D154" s="11"/>
      <c r="E154" s="11"/>
    </row>
    <row r="155">
      <c r="A155" s="11"/>
      <c r="B155" s="11"/>
      <c r="C155" s="11"/>
      <c r="D155" s="11"/>
      <c r="E155" s="11"/>
    </row>
    <row r="156">
      <c r="A156" s="11"/>
      <c r="B156" s="11"/>
      <c r="C156" s="11"/>
      <c r="D156" s="11"/>
      <c r="E156" s="11"/>
    </row>
    <row r="157">
      <c r="A157" s="11"/>
      <c r="B157" s="11"/>
      <c r="C157" s="11"/>
      <c r="D157" s="11"/>
      <c r="E157" s="11"/>
    </row>
    <row r="158">
      <c r="A158" s="11"/>
      <c r="B158" s="11"/>
      <c r="C158" s="11"/>
      <c r="D158" s="11"/>
      <c r="E158" s="11"/>
    </row>
    <row r="159">
      <c r="A159" s="11"/>
      <c r="B159" s="11"/>
      <c r="C159" s="11"/>
      <c r="D159" s="11"/>
      <c r="E159" s="11"/>
    </row>
    <row r="160">
      <c r="A160" s="11"/>
      <c r="B160" s="11"/>
      <c r="C160" s="11"/>
      <c r="D160" s="11"/>
      <c r="E160" s="11"/>
    </row>
    <row r="161">
      <c r="A161" s="11"/>
      <c r="B161" s="11"/>
      <c r="C161" s="11"/>
      <c r="D161" s="11"/>
      <c r="E161" s="11"/>
    </row>
    <row r="162">
      <c r="A162" s="11"/>
      <c r="B162" s="11"/>
      <c r="C162" s="11"/>
      <c r="D162" s="11"/>
      <c r="E162" s="11"/>
    </row>
    <row r="163">
      <c r="A163" s="11"/>
      <c r="B163" s="11"/>
      <c r="C163" s="11"/>
      <c r="D163" s="11"/>
      <c r="E163" s="11"/>
    </row>
    <row r="164">
      <c r="A164" s="11"/>
      <c r="B164" s="11"/>
      <c r="C164" s="11"/>
      <c r="D164" s="11"/>
      <c r="E164" s="11"/>
    </row>
    <row r="165">
      <c r="A165" s="11"/>
      <c r="B165" s="11"/>
      <c r="C165" s="11"/>
      <c r="D165" s="11"/>
      <c r="E165" s="11"/>
    </row>
    <row r="166">
      <c r="A166" s="11"/>
      <c r="B166" s="11"/>
      <c r="C166" s="11"/>
      <c r="D166" s="11"/>
      <c r="E166" s="11"/>
    </row>
    <row r="167">
      <c r="A167" s="11"/>
      <c r="B167" s="11"/>
      <c r="C167" s="11"/>
      <c r="D167" s="11"/>
      <c r="E167" s="11"/>
    </row>
    <row r="168">
      <c r="A168" s="11"/>
      <c r="B168" s="11"/>
      <c r="C168" s="11"/>
      <c r="D168" s="11"/>
      <c r="E168" s="11"/>
    </row>
    <row r="169">
      <c r="A169" s="11"/>
      <c r="B169" s="11"/>
      <c r="C169" s="11"/>
      <c r="D169" s="11"/>
      <c r="E169" s="11"/>
    </row>
    <row r="170">
      <c r="A170" s="11"/>
      <c r="B170" s="11"/>
      <c r="C170" s="11"/>
      <c r="D170" s="11"/>
      <c r="E170" s="11"/>
    </row>
    <row r="171">
      <c r="A171" s="11"/>
      <c r="B171" s="11"/>
      <c r="C171" s="11"/>
      <c r="D171" s="11"/>
      <c r="E171" s="11"/>
    </row>
    <row r="172">
      <c r="A172" s="11"/>
      <c r="B172" s="11"/>
      <c r="C172" s="11"/>
      <c r="D172" s="11"/>
      <c r="E172" s="11"/>
    </row>
    <row r="173">
      <c r="A173" s="11"/>
      <c r="B173" s="11"/>
      <c r="C173" s="11"/>
      <c r="D173" s="11"/>
      <c r="E173" s="11"/>
    </row>
    <row r="174">
      <c r="A174" s="11"/>
      <c r="B174" s="11"/>
      <c r="C174" s="11"/>
      <c r="D174" s="11"/>
      <c r="E174" s="11"/>
    </row>
    <row r="175">
      <c r="A175" s="11"/>
      <c r="B175" s="11"/>
      <c r="C175" s="11"/>
      <c r="D175" s="11"/>
      <c r="E175" s="11"/>
    </row>
    <row r="176">
      <c r="A176" s="11"/>
      <c r="B176" s="11"/>
      <c r="C176" s="11"/>
      <c r="D176" s="11"/>
      <c r="E176" s="11"/>
    </row>
    <row r="177">
      <c r="A177" s="11"/>
      <c r="B177" s="11"/>
      <c r="C177" s="11"/>
      <c r="D177" s="11"/>
      <c r="E177" s="11"/>
    </row>
    <row r="178">
      <c r="A178" s="11"/>
      <c r="B178" s="11"/>
      <c r="C178" s="11"/>
      <c r="D178" s="11"/>
      <c r="E178" s="11"/>
    </row>
    <row r="179">
      <c r="A179" s="11"/>
      <c r="B179" s="11"/>
      <c r="C179" s="11"/>
      <c r="D179" s="11"/>
      <c r="E179" s="11"/>
    </row>
    <row r="180">
      <c r="A180" s="11"/>
      <c r="B180" s="11"/>
      <c r="C180" s="11"/>
      <c r="D180" s="11"/>
      <c r="E180" s="11"/>
    </row>
    <row r="181">
      <c r="A181" s="11"/>
      <c r="B181" s="11"/>
      <c r="C181" s="11"/>
      <c r="D181" s="11"/>
      <c r="E181" s="11"/>
    </row>
    <row r="182">
      <c r="A182" s="11"/>
      <c r="B182" s="11"/>
      <c r="C182" s="11"/>
      <c r="D182" s="11"/>
      <c r="E182" s="11"/>
    </row>
    <row r="183">
      <c r="A183" s="11"/>
      <c r="B183" s="11"/>
      <c r="C183" s="11"/>
      <c r="D183" s="11"/>
      <c r="E183" s="11"/>
    </row>
    <row r="184">
      <c r="A184" s="11"/>
      <c r="B184" s="11"/>
      <c r="C184" s="11"/>
      <c r="D184" s="11"/>
      <c r="E184" s="11"/>
    </row>
    <row r="185">
      <c r="A185" s="11"/>
      <c r="B185" s="11"/>
      <c r="C185" s="11"/>
      <c r="D185" s="11"/>
      <c r="E185" s="11"/>
    </row>
    <row r="186">
      <c r="A186" s="11"/>
      <c r="B186" s="11"/>
      <c r="C186" s="11"/>
      <c r="D186" s="11"/>
      <c r="E186" s="11"/>
    </row>
    <row r="187">
      <c r="A187" s="11"/>
      <c r="B187" s="11"/>
      <c r="C187" s="11"/>
      <c r="D187" s="11"/>
      <c r="E187" s="11"/>
    </row>
    <row r="188">
      <c r="A188" s="11"/>
      <c r="B188" s="11"/>
      <c r="C188" s="11"/>
      <c r="D188" s="11"/>
      <c r="E188" s="11"/>
    </row>
    <row r="189">
      <c r="A189" s="11"/>
      <c r="B189" s="11"/>
      <c r="C189" s="11"/>
      <c r="D189" s="11"/>
      <c r="E189" s="11"/>
    </row>
    <row r="190">
      <c r="A190" s="11"/>
      <c r="B190" s="11"/>
      <c r="C190" s="11"/>
      <c r="D190" s="11"/>
      <c r="E190" s="11"/>
    </row>
    <row r="191">
      <c r="A191" s="11"/>
      <c r="B191" s="11"/>
      <c r="C191" s="11"/>
      <c r="D191" s="11"/>
      <c r="E191" s="11"/>
    </row>
    <row r="192">
      <c r="A192" s="11"/>
      <c r="B192" s="11"/>
      <c r="C192" s="11"/>
      <c r="D192" s="11"/>
      <c r="E192" s="11"/>
    </row>
    <row r="193">
      <c r="A193" s="11"/>
      <c r="B193" s="11"/>
      <c r="C193" s="11"/>
      <c r="D193" s="11"/>
      <c r="E193" s="11"/>
    </row>
    <row r="194">
      <c r="A194" s="11"/>
      <c r="B194" s="11"/>
      <c r="C194" s="11"/>
      <c r="D194" s="11"/>
      <c r="E194" s="11"/>
    </row>
    <row r="195">
      <c r="A195" s="11"/>
      <c r="B195" s="11"/>
      <c r="C195" s="11"/>
      <c r="D195" s="11"/>
      <c r="E195" s="11"/>
    </row>
    <row r="196">
      <c r="A196" s="11"/>
      <c r="B196" s="11"/>
      <c r="C196" s="11"/>
      <c r="D196" s="11"/>
      <c r="E196" s="11"/>
    </row>
    <row r="197">
      <c r="A197" s="11"/>
      <c r="B197" s="11"/>
      <c r="C197" s="11"/>
      <c r="D197" s="11"/>
      <c r="E197" s="11"/>
    </row>
    <row r="198">
      <c r="A198" s="11"/>
      <c r="B198" s="11"/>
      <c r="C198" s="11"/>
      <c r="D198" s="11"/>
      <c r="E198" s="11"/>
    </row>
    <row r="199">
      <c r="A199" s="11"/>
      <c r="B199" s="11"/>
      <c r="C199" s="11"/>
      <c r="D199" s="11"/>
      <c r="E199" s="11"/>
    </row>
    <row r="200">
      <c r="A200" s="11"/>
      <c r="B200" s="11"/>
      <c r="C200" s="11"/>
      <c r="D200" s="11"/>
      <c r="E200" s="11"/>
    </row>
    <row r="201">
      <c r="A201" s="11"/>
      <c r="B201" s="11"/>
      <c r="C201" s="11"/>
      <c r="D201" s="11"/>
      <c r="E201" s="11"/>
    </row>
    <row r="202">
      <c r="A202" s="11"/>
      <c r="B202" s="11"/>
      <c r="C202" s="11"/>
      <c r="D202" s="11"/>
      <c r="E202" s="11"/>
    </row>
    <row r="203">
      <c r="A203" s="11"/>
      <c r="B203" s="11"/>
      <c r="C203" s="11"/>
      <c r="D203" s="11"/>
      <c r="E203" s="11"/>
    </row>
    <row r="204">
      <c r="A204" s="11"/>
      <c r="B204" s="11"/>
      <c r="C204" s="11"/>
      <c r="D204" s="11"/>
      <c r="E204" s="11"/>
    </row>
    <row r="205">
      <c r="A205" s="11"/>
      <c r="B205" s="11"/>
      <c r="C205" s="11"/>
      <c r="D205" s="11"/>
      <c r="E205" s="11"/>
    </row>
    <row r="206">
      <c r="A206" s="11"/>
      <c r="B206" s="11"/>
      <c r="C206" s="11"/>
      <c r="D206" s="11"/>
      <c r="E206" s="11"/>
    </row>
    <row r="207">
      <c r="A207" s="11"/>
      <c r="B207" s="11"/>
      <c r="C207" s="11"/>
      <c r="D207" s="11"/>
      <c r="E207" s="11"/>
    </row>
    <row r="208">
      <c r="A208" s="11"/>
      <c r="B208" s="11"/>
      <c r="C208" s="11"/>
      <c r="D208" s="11"/>
      <c r="E208" s="11"/>
    </row>
    <row r="209">
      <c r="A209" s="11"/>
      <c r="B209" s="11"/>
      <c r="C209" s="11"/>
      <c r="D209" s="11"/>
      <c r="E209" s="11"/>
    </row>
    <row r="210">
      <c r="A210" s="11"/>
      <c r="B210" s="11"/>
      <c r="C210" s="11"/>
      <c r="D210" s="11"/>
      <c r="E210" s="11"/>
    </row>
    <row r="211">
      <c r="A211" s="11"/>
      <c r="B211" s="11"/>
      <c r="C211" s="11"/>
      <c r="D211" s="11"/>
      <c r="E211" s="11"/>
    </row>
    <row r="212">
      <c r="A212" s="11"/>
      <c r="B212" s="11"/>
      <c r="C212" s="11"/>
      <c r="D212" s="11"/>
      <c r="E212" s="11"/>
    </row>
    <row r="213">
      <c r="A213" s="11"/>
      <c r="B213" s="11"/>
      <c r="C213" s="11"/>
      <c r="D213" s="11"/>
      <c r="E213" s="11"/>
    </row>
    <row r="214">
      <c r="A214" s="11"/>
      <c r="B214" s="11"/>
      <c r="C214" s="11"/>
      <c r="D214" s="11"/>
      <c r="E214" s="11"/>
    </row>
    <row r="215">
      <c r="A215" s="11"/>
      <c r="B215" s="11"/>
      <c r="C215" s="11"/>
      <c r="D215" s="11"/>
      <c r="E215" s="11"/>
    </row>
    <row r="216">
      <c r="A216" s="11"/>
      <c r="B216" s="11"/>
      <c r="C216" s="11"/>
      <c r="D216" s="11"/>
      <c r="E216" s="11"/>
    </row>
    <row r="217">
      <c r="A217" s="11"/>
      <c r="B217" s="11"/>
      <c r="C217" s="11"/>
      <c r="D217" s="11"/>
      <c r="E217" s="11"/>
    </row>
    <row r="218">
      <c r="A218" s="11"/>
      <c r="B218" s="11"/>
      <c r="C218" s="11"/>
      <c r="D218" s="11"/>
      <c r="E218" s="11"/>
    </row>
    <row r="219">
      <c r="A219" s="11"/>
      <c r="B219" s="11"/>
      <c r="C219" s="11"/>
      <c r="D219" s="11"/>
      <c r="E219" s="11"/>
    </row>
    <row r="220">
      <c r="A220" s="11"/>
      <c r="B220" s="11"/>
      <c r="C220" s="11"/>
      <c r="D220" s="11"/>
      <c r="E220" s="11"/>
    </row>
    <row r="221">
      <c r="A221" s="11"/>
      <c r="B221" s="11"/>
      <c r="C221" s="11"/>
      <c r="D221" s="11"/>
      <c r="E221" s="11"/>
    </row>
    <row r="222">
      <c r="A222" s="11"/>
      <c r="B222" s="11"/>
      <c r="C222" s="11"/>
      <c r="D222" s="11"/>
      <c r="E222" s="11"/>
    </row>
    <row r="223">
      <c r="A223" s="11"/>
      <c r="B223" s="11"/>
      <c r="C223" s="11"/>
      <c r="D223" s="11"/>
      <c r="E223" s="11"/>
    </row>
    <row r="224">
      <c r="A224" s="11"/>
      <c r="B224" s="11"/>
      <c r="C224" s="11"/>
      <c r="D224" s="11"/>
      <c r="E224" s="11"/>
    </row>
    <row r="225">
      <c r="A225" s="11"/>
      <c r="B225" s="11"/>
      <c r="C225" s="11"/>
      <c r="D225" s="11"/>
      <c r="E225" s="11"/>
    </row>
    <row r="226">
      <c r="A226" s="11"/>
      <c r="B226" s="11"/>
      <c r="C226" s="11"/>
      <c r="D226" s="11"/>
      <c r="E226" s="11"/>
    </row>
    <row r="227">
      <c r="A227" s="11"/>
      <c r="B227" s="11"/>
      <c r="C227" s="11"/>
      <c r="D227" s="11"/>
      <c r="E227" s="11"/>
    </row>
    <row r="228">
      <c r="A228" s="11"/>
      <c r="B228" s="11"/>
      <c r="C228" s="11"/>
      <c r="D228" s="11"/>
      <c r="E228" s="11"/>
    </row>
    <row r="229">
      <c r="A229" s="11"/>
      <c r="B229" s="11"/>
      <c r="C229" s="11"/>
      <c r="D229" s="11"/>
      <c r="E229" s="11"/>
    </row>
    <row r="230">
      <c r="A230" s="11"/>
      <c r="B230" s="11"/>
      <c r="C230" s="11"/>
      <c r="D230" s="11"/>
      <c r="E230" s="11"/>
    </row>
    <row r="231">
      <c r="A231" s="11"/>
      <c r="B231" s="11"/>
      <c r="C231" s="11"/>
      <c r="D231" s="11"/>
      <c r="E231" s="11"/>
    </row>
    <row r="232">
      <c r="A232" s="11"/>
      <c r="B232" s="11"/>
      <c r="C232" s="11"/>
      <c r="D232" s="11"/>
      <c r="E232" s="11"/>
    </row>
    <row r="233">
      <c r="A233" s="11"/>
      <c r="B233" s="11"/>
      <c r="C233" s="11"/>
      <c r="D233" s="11"/>
      <c r="E233" s="11"/>
    </row>
    <row r="234">
      <c r="A234" s="11"/>
      <c r="B234" s="11"/>
      <c r="C234" s="11"/>
      <c r="D234" s="11"/>
      <c r="E234" s="11"/>
    </row>
    <row r="235">
      <c r="A235" s="11"/>
      <c r="B235" s="11"/>
      <c r="C235" s="11"/>
      <c r="D235" s="11"/>
      <c r="E235" s="11"/>
    </row>
    <row r="236">
      <c r="A236" s="11"/>
      <c r="B236" s="11"/>
      <c r="C236" s="11"/>
      <c r="D236" s="11"/>
      <c r="E236" s="11"/>
    </row>
    <row r="237">
      <c r="A237" s="11"/>
      <c r="B237" s="11"/>
      <c r="C237" s="11"/>
      <c r="D237" s="11"/>
      <c r="E237" s="11"/>
    </row>
    <row r="238">
      <c r="A238" s="11"/>
      <c r="B238" s="11"/>
      <c r="C238" s="11"/>
      <c r="D238" s="11"/>
      <c r="E238" s="11"/>
    </row>
    <row r="239">
      <c r="A239" s="11"/>
      <c r="B239" s="11"/>
      <c r="C239" s="11"/>
      <c r="D239" s="11"/>
      <c r="E239" s="11"/>
    </row>
    <row r="240">
      <c r="A240" s="11"/>
      <c r="B240" s="11"/>
      <c r="C240" s="11"/>
      <c r="D240" s="11"/>
      <c r="E240" s="11"/>
    </row>
    <row r="241">
      <c r="A241" s="11"/>
      <c r="B241" s="11"/>
      <c r="C241" s="11"/>
      <c r="D241" s="11"/>
      <c r="E241" s="11"/>
    </row>
    <row r="242">
      <c r="A242" s="11"/>
      <c r="B242" s="11"/>
      <c r="C242" s="11"/>
      <c r="D242" s="11"/>
      <c r="E242" s="11"/>
    </row>
    <row r="243">
      <c r="A243" s="11"/>
      <c r="B243" s="11"/>
      <c r="C243" s="11"/>
      <c r="D243" s="11"/>
      <c r="E243" s="11"/>
    </row>
    <row r="244">
      <c r="A244" s="11"/>
      <c r="B244" s="11"/>
      <c r="C244" s="11"/>
      <c r="D244" s="11"/>
      <c r="E244" s="11"/>
    </row>
    <row r="245">
      <c r="A245" s="11"/>
      <c r="B245" s="11"/>
      <c r="C245" s="11"/>
      <c r="D245" s="11"/>
      <c r="E245" s="11"/>
    </row>
    <row r="246">
      <c r="A246" s="11"/>
      <c r="B246" s="11"/>
      <c r="C246" s="11"/>
      <c r="D246" s="11"/>
      <c r="E246" s="11"/>
    </row>
    <row r="247">
      <c r="A247" s="11"/>
      <c r="B247" s="11"/>
      <c r="C247" s="11"/>
      <c r="D247" s="11"/>
      <c r="E247" s="11"/>
    </row>
    <row r="248">
      <c r="A248" s="11"/>
      <c r="B248" s="11"/>
      <c r="C248" s="11"/>
      <c r="D248" s="11"/>
      <c r="E248" s="11"/>
    </row>
    <row r="249">
      <c r="A249" s="11"/>
      <c r="B249" s="11"/>
      <c r="C249" s="11"/>
      <c r="D249" s="11"/>
      <c r="E249" s="11"/>
    </row>
    <row r="250">
      <c r="A250" s="11"/>
      <c r="B250" s="11"/>
      <c r="C250" s="11"/>
      <c r="D250" s="11"/>
      <c r="E250" s="11"/>
    </row>
    <row r="251">
      <c r="A251" s="11"/>
      <c r="B251" s="11"/>
      <c r="C251" s="11"/>
      <c r="D251" s="11"/>
      <c r="E251" s="11"/>
    </row>
    <row r="252">
      <c r="A252" s="11"/>
      <c r="B252" s="11"/>
      <c r="C252" s="11"/>
      <c r="D252" s="11"/>
      <c r="E252" s="11"/>
    </row>
    <row r="253">
      <c r="A253" s="11"/>
      <c r="B253" s="11"/>
      <c r="C253" s="11"/>
      <c r="D253" s="11"/>
      <c r="E253" s="11"/>
    </row>
    <row r="254">
      <c r="A254" s="11"/>
      <c r="B254" s="11"/>
      <c r="C254" s="11"/>
      <c r="D254" s="11"/>
      <c r="E254" s="11"/>
    </row>
    <row r="255">
      <c r="A255" s="11"/>
      <c r="B255" s="11"/>
      <c r="C255" s="11"/>
      <c r="D255" s="11"/>
      <c r="E255" s="11"/>
    </row>
    <row r="256">
      <c r="A256" s="11"/>
      <c r="B256" s="11"/>
      <c r="C256" s="11"/>
      <c r="D256" s="11"/>
      <c r="E256" s="11"/>
    </row>
    <row r="257">
      <c r="A257" s="11"/>
      <c r="B257" s="11"/>
      <c r="C257" s="11"/>
      <c r="D257" s="11"/>
      <c r="E257" s="11"/>
    </row>
    <row r="258">
      <c r="A258" s="11"/>
      <c r="B258" s="11"/>
      <c r="C258" s="11"/>
      <c r="D258" s="11"/>
      <c r="E258" s="11"/>
    </row>
    <row r="259">
      <c r="A259" s="11"/>
      <c r="B259" s="11"/>
      <c r="C259" s="11"/>
      <c r="D259" s="11"/>
      <c r="E259" s="11"/>
    </row>
    <row r="260">
      <c r="A260" s="11"/>
      <c r="B260" s="11"/>
      <c r="C260" s="11"/>
      <c r="D260" s="11"/>
      <c r="E260" s="11"/>
    </row>
    <row r="261">
      <c r="A261" s="11"/>
      <c r="B261" s="11"/>
      <c r="C261" s="11"/>
      <c r="D261" s="11"/>
      <c r="E261" s="11"/>
    </row>
    <row r="262">
      <c r="A262" s="11"/>
      <c r="B262" s="11"/>
      <c r="C262" s="11"/>
      <c r="D262" s="11"/>
      <c r="E262" s="11"/>
    </row>
    <row r="263">
      <c r="A263" s="11"/>
      <c r="B263" s="11"/>
      <c r="C263" s="11"/>
      <c r="D263" s="11"/>
      <c r="E263" s="11"/>
    </row>
    <row r="264">
      <c r="A264" s="11"/>
      <c r="B264" s="11"/>
      <c r="C264" s="11"/>
      <c r="D264" s="11"/>
      <c r="E264" s="11"/>
    </row>
    <row r="265">
      <c r="A265" s="11"/>
      <c r="B265" s="11"/>
      <c r="C265" s="11"/>
      <c r="D265" s="11"/>
      <c r="E265" s="11"/>
    </row>
    <row r="266">
      <c r="A266" s="11"/>
      <c r="B266" s="11"/>
      <c r="C266" s="11"/>
      <c r="D266" s="11"/>
      <c r="E266" s="11"/>
    </row>
    <row r="267">
      <c r="A267" s="11"/>
      <c r="B267" s="11"/>
      <c r="C267" s="11"/>
      <c r="D267" s="11"/>
      <c r="E267" s="11"/>
    </row>
    <row r="268">
      <c r="A268" s="11"/>
      <c r="B268" s="11"/>
      <c r="C268" s="11"/>
      <c r="D268" s="11"/>
      <c r="E268" s="11"/>
    </row>
    <row r="269">
      <c r="A269" s="11"/>
      <c r="B269" s="11"/>
      <c r="C269" s="11"/>
      <c r="D269" s="11"/>
      <c r="E269" s="11"/>
    </row>
    <row r="270">
      <c r="A270" s="11"/>
      <c r="B270" s="11"/>
      <c r="C270" s="11"/>
      <c r="D270" s="11"/>
      <c r="E270" s="11"/>
    </row>
    <row r="271">
      <c r="A271" s="11"/>
      <c r="B271" s="11"/>
      <c r="C271" s="11"/>
      <c r="D271" s="11"/>
      <c r="E271" s="11"/>
    </row>
    <row r="272">
      <c r="A272" s="11"/>
      <c r="B272" s="11"/>
      <c r="C272" s="11"/>
      <c r="D272" s="11"/>
      <c r="E272" s="11"/>
    </row>
    <row r="273">
      <c r="A273" s="11"/>
      <c r="B273" s="11"/>
      <c r="C273" s="11"/>
      <c r="D273" s="11"/>
      <c r="E273" s="11"/>
    </row>
    <row r="274">
      <c r="A274" s="11"/>
      <c r="B274" s="11"/>
      <c r="C274" s="11"/>
      <c r="D274" s="11"/>
      <c r="E274" s="11"/>
    </row>
    <row r="275">
      <c r="A275" s="11"/>
      <c r="B275" s="11"/>
      <c r="C275" s="11"/>
      <c r="D275" s="11"/>
      <c r="E275" s="11"/>
    </row>
    <row r="276">
      <c r="A276" s="11"/>
      <c r="B276" s="11"/>
      <c r="C276" s="11"/>
      <c r="D276" s="11"/>
      <c r="E276" s="11"/>
    </row>
    <row r="277">
      <c r="A277" s="11"/>
      <c r="B277" s="11"/>
      <c r="C277" s="11"/>
      <c r="D277" s="11"/>
      <c r="E277" s="11"/>
    </row>
    <row r="278">
      <c r="A278" s="11"/>
      <c r="B278" s="11"/>
      <c r="C278" s="11"/>
      <c r="D278" s="11"/>
      <c r="E278" s="11"/>
    </row>
    <row r="279">
      <c r="A279" s="11"/>
      <c r="B279" s="11"/>
      <c r="C279" s="11"/>
      <c r="D279" s="11"/>
      <c r="E279" s="11"/>
    </row>
    <row r="280">
      <c r="A280" s="11"/>
      <c r="B280" s="11"/>
      <c r="C280" s="11"/>
      <c r="D280" s="11"/>
      <c r="E280" s="11"/>
    </row>
    <row r="281">
      <c r="A281" s="11"/>
      <c r="B281" s="11"/>
      <c r="C281" s="11"/>
      <c r="D281" s="11"/>
      <c r="E281" s="11"/>
    </row>
    <row r="282">
      <c r="A282" s="11"/>
      <c r="B282" s="11"/>
      <c r="C282" s="11"/>
      <c r="D282" s="11"/>
      <c r="E282" s="11"/>
    </row>
    <row r="283">
      <c r="A283" s="11"/>
      <c r="B283" s="11"/>
      <c r="C283" s="11"/>
      <c r="D283" s="11"/>
      <c r="E283" s="11"/>
    </row>
    <row r="284">
      <c r="A284" s="11"/>
      <c r="B284" s="11"/>
      <c r="C284" s="11"/>
      <c r="D284" s="11"/>
      <c r="E284" s="11"/>
    </row>
    <row r="285">
      <c r="A285" s="11"/>
      <c r="B285" s="11"/>
      <c r="C285" s="11"/>
      <c r="D285" s="11"/>
      <c r="E285" s="11"/>
    </row>
    <row r="286">
      <c r="A286" s="11"/>
      <c r="B286" s="11"/>
      <c r="C286" s="11"/>
      <c r="D286" s="11"/>
      <c r="E286" s="11"/>
    </row>
    <row r="287">
      <c r="A287" s="11"/>
      <c r="B287" s="11"/>
      <c r="C287" s="11"/>
      <c r="D287" s="11"/>
      <c r="E287" s="11"/>
    </row>
    <row r="288">
      <c r="A288" s="11"/>
      <c r="B288" s="11"/>
      <c r="C288" s="11"/>
      <c r="D288" s="11"/>
      <c r="E288" s="11"/>
    </row>
    <row r="289">
      <c r="A289" s="11"/>
      <c r="B289" s="11"/>
      <c r="C289" s="11"/>
      <c r="D289" s="11"/>
      <c r="E289" s="11"/>
    </row>
    <row r="290">
      <c r="A290" s="11"/>
      <c r="B290" s="11"/>
      <c r="C290" s="11"/>
      <c r="D290" s="11"/>
      <c r="E290" s="11"/>
    </row>
    <row r="291">
      <c r="A291" s="11"/>
      <c r="B291" s="11"/>
      <c r="C291" s="11"/>
      <c r="D291" s="11"/>
      <c r="E291" s="11"/>
    </row>
    <row r="292">
      <c r="A292" s="11"/>
      <c r="B292" s="11"/>
      <c r="C292" s="11"/>
      <c r="D292" s="11"/>
      <c r="E292" s="11"/>
    </row>
    <row r="293">
      <c r="A293" s="11"/>
      <c r="B293" s="11"/>
      <c r="C293" s="11"/>
      <c r="D293" s="11"/>
      <c r="E293" s="11"/>
    </row>
    <row r="294">
      <c r="A294" s="11"/>
      <c r="B294" s="11"/>
      <c r="C294" s="11"/>
      <c r="D294" s="11"/>
      <c r="E294" s="11"/>
    </row>
    <row r="295">
      <c r="A295" s="11"/>
      <c r="B295" s="11"/>
      <c r="C295" s="11"/>
      <c r="D295" s="11"/>
      <c r="E295" s="11"/>
    </row>
    <row r="296">
      <c r="A296" s="11"/>
      <c r="B296" s="11"/>
      <c r="C296" s="11"/>
      <c r="D296" s="11"/>
      <c r="E296" s="11"/>
    </row>
    <row r="297">
      <c r="A297" s="11"/>
      <c r="B297" s="11"/>
      <c r="C297" s="11"/>
      <c r="D297" s="11"/>
      <c r="E297" s="11"/>
    </row>
    <row r="298">
      <c r="A298" s="11"/>
      <c r="B298" s="11"/>
      <c r="C298" s="11"/>
      <c r="D298" s="11"/>
      <c r="E298" s="11"/>
    </row>
    <row r="299">
      <c r="A299" s="11"/>
      <c r="B299" s="11"/>
      <c r="C299" s="11"/>
      <c r="D299" s="11"/>
      <c r="E299" s="11"/>
    </row>
    <row r="300">
      <c r="A300" s="11"/>
      <c r="B300" s="11"/>
      <c r="C300" s="11"/>
      <c r="D300" s="11"/>
      <c r="E300" s="11"/>
    </row>
    <row r="301">
      <c r="A301" s="11"/>
      <c r="B301" s="11"/>
      <c r="C301" s="11"/>
      <c r="D301" s="11"/>
      <c r="E301" s="11"/>
    </row>
    <row r="302">
      <c r="A302" s="11"/>
      <c r="B302" s="11"/>
      <c r="C302" s="11"/>
      <c r="D302" s="11"/>
      <c r="E302" s="11"/>
    </row>
    <row r="303">
      <c r="A303" s="11"/>
      <c r="B303" s="11"/>
      <c r="C303" s="11"/>
      <c r="D303" s="11"/>
      <c r="E303" s="11"/>
    </row>
    <row r="304">
      <c r="A304" s="11"/>
      <c r="B304" s="11"/>
      <c r="C304" s="11"/>
      <c r="D304" s="11"/>
      <c r="E304" s="11"/>
    </row>
    <row r="305">
      <c r="A305" s="11"/>
      <c r="B305" s="11"/>
      <c r="C305" s="11"/>
      <c r="D305" s="11"/>
      <c r="E305" s="11"/>
    </row>
    <row r="306">
      <c r="A306" s="11"/>
      <c r="B306" s="11"/>
      <c r="C306" s="11"/>
      <c r="D306" s="11"/>
      <c r="E306" s="11"/>
    </row>
    <row r="307">
      <c r="A307" s="11"/>
      <c r="B307" s="11"/>
      <c r="C307" s="11"/>
      <c r="D307" s="11"/>
      <c r="E307" s="11"/>
    </row>
    <row r="308">
      <c r="A308" s="11"/>
      <c r="B308" s="11"/>
      <c r="C308" s="11"/>
      <c r="D308" s="11"/>
      <c r="E308" s="11"/>
    </row>
    <row r="309">
      <c r="A309" s="11"/>
      <c r="B309" s="11"/>
      <c r="C309" s="11"/>
      <c r="D309" s="11"/>
      <c r="E309" s="11"/>
    </row>
    <row r="310">
      <c r="A310" s="11"/>
      <c r="B310" s="11"/>
      <c r="C310" s="11"/>
      <c r="D310" s="11"/>
      <c r="E310" s="11"/>
    </row>
    <row r="311">
      <c r="A311" s="11"/>
      <c r="B311" s="11"/>
      <c r="C311" s="11"/>
      <c r="D311" s="11"/>
      <c r="E311" s="11"/>
    </row>
    <row r="312">
      <c r="A312" s="11"/>
      <c r="B312" s="11"/>
      <c r="C312" s="11"/>
      <c r="D312" s="11"/>
      <c r="E312" s="11"/>
    </row>
    <row r="313">
      <c r="A313" s="11"/>
      <c r="B313" s="11"/>
      <c r="C313" s="11"/>
      <c r="D313" s="11"/>
      <c r="E313" s="11"/>
    </row>
    <row r="314">
      <c r="A314" s="11"/>
      <c r="B314" s="11"/>
      <c r="C314" s="11"/>
      <c r="D314" s="11"/>
      <c r="E314" s="11"/>
    </row>
    <row r="315">
      <c r="A315" s="11"/>
      <c r="B315" s="11"/>
      <c r="C315" s="11"/>
      <c r="D315" s="11"/>
      <c r="E315" s="11"/>
    </row>
    <row r="316">
      <c r="A316" s="11"/>
      <c r="B316" s="11"/>
      <c r="C316" s="11"/>
      <c r="D316" s="11"/>
      <c r="E316" s="11"/>
    </row>
    <row r="317">
      <c r="A317" s="11"/>
      <c r="B317" s="11"/>
      <c r="C317" s="11"/>
      <c r="D317" s="11"/>
      <c r="E317" s="11"/>
    </row>
    <row r="318">
      <c r="A318" s="11"/>
      <c r="B318" s="11"/>
      <c r="C318" s="11"/>
      <c r="D318" s="11"/>
      <c r="E318" s="11"/>
    </row>
    <row r="319">
      <c r="A319" s="11"/>
      <c r="B319" s="11"/>
      <c r="C319" s="11"/>
      <c r="D319" s="11"/>
      <c r="E319" s="11"/>
    </row>
    <row r="320">
      <c r="A320" s="11"/>
      <c r="B320" s="11"/>
      <c r="C320" s="11"/>
      <c r="D320" s="11"/>
      <c r="E320" s="11"/>
    </row>
    <row r="321">
      <c r="A321" s="11"/>
      <c r="B321" s="11"/>
      <c r="C321" s="11"/>
      <c r="D321" s="11"/>
      <c r="E321" s="11"/>
    </row>
    <row r="322">
      <c r="A322" s="11"/>
      <c r="B322" s="11"/>
      <c r="C322" s="11"/>
      <c r="D322" s="11"/>
      <c r="E322" s="11"/>
    </row>
    <row r="323">
      <c r="A323" s="11"/>
      <c r="B323" s="11"/>
      <c r="C323" s="11"/>
      <c r="D323" s="11"/>
      <c r="E323" s="11"/>
    </row>
    <row r="324">
      <c r="A324" s="11"/>
      <c r="B324" s="11"/>
      <c r="C324" s="11"/>
      <c r="D324" s="11"/>
      <c r="E324" s="11"/>
    </row>
    <row r="325">
      <c r="A325" s="11"/>
      <c r="B325" s="11"/>
      <c r="C325" s="11"/>
      <c r="D325" s="11"/>
      <c r="E325" s="11"/>
    </row>
    <row r="326">
      <c r="A326" s="11"/>
      <c r="B326" s="11"/>
      <c r="C326" s="11"/>
      <c r="D326" s="11"/>
      <c r="E326" s="11"/>
    </row>
    <row r="327">
      <c r="A327" s="11"/>
      <c r="B327" s="11"/>
      <c r="C327" s="11"/>
      <c r="D327" s="11"/>
      <c r="E327" s="11"/>
    </row>
    <row r="328">
      <c r="A328" s="11"/>
      <c r="B328" s="11"/>
      <c r="C328" s="11"/>
      <c r="D328" s="11"/>
      <c r="E328" s="11"/>
    </row>
    <row r="329">
      <c r="A329" s="11"/>
      <c r="B329" s="11"/>
      <c r="C329" s="11"/>
      <c r="D329" s="11"/>
      <c r="E329" s="11"/>
    </row>
    <row r="330">
      <c r="A330" s="11"/>
      <c r="B330" s="11"/>
      <c r="C330" s="11"/>
      <c r="D330" s="11"/>
      <c r="E330" s="11"/>
    </row>
    <row r="331">
      <c r="A331" s="11"/>
      <c r="B331" s="11"/>
      <c r="C331" s="11"/>
      <c r="D331" s="11"/>
      <c r="E331" s="11"/>
    </row>
    <row r="332">
      <c r="A332" s="11"/>
      <c r="B332" s="11"/>
      <c r="C332" s="11"/>
      <c r="D332" s="11"/>
      <c r="E332" s="11"/>
    </row>
    <row r="333">
      <c r="A333" s="11"/>
      <c r="B333" s="11"/>
      <c r="C333" s="11"/>
      <c r="D333" s="11"/>
      <c r="E333" s="11"/>
    </row>
    <row r="334">
      <c r="A334" s="11"/>
      <c r="B334" s="11"/>
      <c r="C334" s="11"/>
      <c r="D334" s="11"/>
      <c r="E334" s="11"/>
    </row>
    <row r="335">
      <c r="A335" s="11"/>
      <c r="B335" s="11"/>
      <c r="C335" s="11"/>
      <c r="D335" s="11"/>
      <c r="E335" s="11"/>
    </row>
    <row r="336">
      <c r="A336" s="11"/>
      <c r="B336" s="11"/>
      <c r="C336" s="11"/>
      <c r="D336" s="11"/>
      <c r="E336" s="11"/>
    </row>
    <row r="337">
      <c r="A337" s="11"/>
      <c r="B337" s="11"/>
      <c r="C337" s="11"/>
      <c r="D337" s="11"/>
      <c r="E337" s="11"/>
    </row>
    <row r="338">
      <c r="A338" s="11"/>
      <c r="B338" s="11"/>
      <c r="C338" s="11"/>
      <c r="D338" s="11"/>
      <c r="E338" s="11"/>
    </row>
    <row r="339">
      <c r="A339" s="11"/>
      <c r="B339" s="11"/>
      <c r="C339" s="11"/>
      <c r="D339" s="11"/>
      <c r="E339" s="11"/>
    </row>
    <row r="340">
      <c r="A340" s="11"/>
      <c r="B340" s="11"/>
      <c r="C340" s="11"/>
      <c r="D340" s="11"/>
      <c r="E340" s="11"/>
    </row>
    <row r="341">
      <c r="A341" s="11"/>
      <c r="B341" s="11"/>
      <c r="C341" s="11"/>
      <c r="D341" s="11"/>
      <c r="E341" s="11"/>
    </row>
    <row r="342">
      <c r="A342" s="11"/>
      <c r="B342" s="11"/>
      <c r="C342" s="11"/>
      <c r="D342" s="11"/>
      <c r="E342" s="11"/>
    </row>
    <row r="343">
      <c r="A343" s="11"/>
      <c r="B343" s="11"/>
      <c r="C343" s="11"/>
      <c r="D343" s="11"/>
      <c r="E343" s="11"/>
    </row>
    <row r="344">
      <c r="A344" s="11"/>
      <c r="B344" s="11"/>
      <c r="C344" s="11"/>
      <c r="D344" s="11"/>
      <c r="E344" s="11"/>
    </row>
    <row r="345">
      <c r="A345" s="11"/>
      <c r="B345" s="11"/>
      <c r="C345" s="11"/>
      <c r="D345" s="11"/>
      <c r="E345" s="11"/>
    </row>
    <row r="346">
      <c r="A346" s="11"/>
      <c r="B346" s="11"/>
      <c r="C346" s="11"/>
      <c r="D346" s="11"/>
      <c r="E346" s="11"/>
    </row>
    <row r="347">
      <c r="A347" s="11"/>
      <c r="B347" s="11"/>
      <c r="C347" s="11"/>
      <c r="D347" s="11"/>
      <c r="E347" s="11"/>
    </row>
    <row r="348">
      <c r="A348" s="11"/>
      <c r="B348" s="11"/>
      <c r="C348" s="11"/>
      <c r="D348" s="11"/>
      <c r="E348" s="11"/>
    </row>
    <row r="349">
      <c r="A349" s="11"/>
      <c r="B349" s="11"/>
      <c r="C349" s="11"/>
      <c r="D349" s="11"/>
      <c r="E349" s="11"/>
    </row>
    <row r="350">
      <c r="A350" s="11"/>
      <c r="B350" s="11"/>
      <c r="C350" s="11"/>
      <c r="D350" s="11"/>
      <c r="E350" s="11"/>
    </row>
    <row r="351">
      <c r="A351" s="11"/>
      <c r="B351" s="11"/>
      <c r="C351" s="11"/>
      <c r="D351" s="11"/>
      <c r="E351" s="11"/>
    </row>
    <row r="352">
      <c r="A352" s="11"/>
      <c r="B352" s="11"/>
      <c r="C352" s="11"/>
      <c r="D352" s="11"/>
      <c r="E352" s="11"/>
    </row>
    <row r="353">
      <c r="A353" s="11"/>
      <c r="B353" s="11"/>
      <c r="C353" s="11"/>
      <c r="D353" s="11"/>
      <c r="E353" s="11"/>
    </row>
    <row r="354">
      <c r="A354" s="11"/>
      <c r="B354" s="11"/>
      <c r="C354" s="11"/>
      <c r="D354" s="11"/>
      <c r="E354" s="11"/>
    </row>
    <row r="355">
      <c r="A355" s="11"/>
      <c r="B355" s="11"/>
      <c r="C355" s="11"/>
      <c r="D355" s="11"/>
      <c r="E355" s="11"/>
    </row>
    <row r="356">
      <c r="A356" s="11"/>
      <c r="B356" s="11"/>
      <c r="C356" s="11"/>
      <c r="D356" s="11"/>
      <c r="E356" s="11"/>
    </row>
    <row r="357">
      <c r="A357" s="11"/>
      <c r="B357" s="11"/>
      <c r="C357" s="11"/>
      <c r="D357" s="11"/>
      <c r="E357" s="11"/>
    </row>
    <row r="358">
      <c r="A358" s="11"/>
      <c r="B358" s="11"/>
      <c r="C358" s="11"/>
      <c r="D358" s="11"/>
      <c r="E358" s="11"/>
    </row>
    <row r="359">
      <c r="A359" s="11"/>
      <c r="B359" s="11"/>
      <c r="C359" s="11"/>
      <c r="D359" s="11"/>
      <c r="E359" s="11"/>
    </row>
    <row r="360">
      <c r="A360" s="11"/>
      <c r="B360" s="11"/>
      <c r="C360" s="11"/>
      <c r="D360" s="11"/>
      <c r="E360" s="11"/>
    </row>
    <row r="361">
      <c r="A361" s="11"/>
      <c r="B361" s="11"/>
      <c r="C361" s="11"/>
      <c r="D361" s="11"/>
      <c r="E361" s="11"/>
    </row>
    <row r="362">
      <c r="A362" s="11"/>
      <c r="B362" s="11"/>
      <c r="C362" s="11"/>
      <c r="D362" s="11"/>
      <c r="E362" s="11"/>
    </row>
    <row r="363">
      <c r="A363" s="11"/>
      <c r="B363" s="11"/>
      <c r="C363" s="11"/>
      <c r="D363" s="11"/>
      <c r="E363" s="11"/>
    </row>
    <row r="364">
      <c r="A364" s="11"/>
      <c r="B364" s="11"/>
      <c r="C364" s="11"/>
      <c r="D364" s="11"/>
      <c r="E364" s="11"/>
    </row>
    <row r="365">
      <c r="A365" s="11"/>
      <c r="B365" s="11"/>
      <c r="C365" s="11"/>
      <c r="D365" s="11"/>
      <c r="E365" s="11"/>
    </row>
    <row r="366">
      <c r="A366" s="11"/>
      <c r="B366" s="11"/>
      <c r="C366" s="11"/>
      <c r="D366" s="11"/>
      <c r="E366" s="11"/>
    </row>
    <row r="367">
      <c r="A367" s="11"/>
      <c r="B367" s="11"/>
      <c r="C367" s="11"/>
      <c r="D367" s="11"/>
      <c r="E367" s="11"/>
    </row>
    <row r="368">
      <c r="A368" s="11"/>
      <c r="B368" s="11"/>
      <c r="C368" s="11"/>
      <c r="D368" s="11"/>
      <c r="E368" s="11"/>
    </row>
    <row r="369">
      <c r="A369" s="11"/>
      <c r="B369" s="11"/>
      <c r="C369" s="11"/>
      <c r="D369" s="11"/>
      <c r="E369" s="11"/>
    </row>
    <row r="370">
      <c r="A370" s="11"/>
      <c r="B370" s="11"/>
      <c r="C370" s="11"/>
      <c r="D370" s="11"/>
      <c r="E370" s="11"/>
    </row>
    <row r="371">
      <c r="A371" s="11"/>
      <c r="B371" s="11"/>
      <c r="C371" s="11"/>
      <c r="D371" s="11"/>
      <c r="E371" s="11"/>
    </row>
    <row r="372">
      <c r="A372" s="11"/>
      <c r="B372" s="11"/>
      <c r="C372" s="11"/>
      <c r="D372" s="11"/>
      <c r="E372" s="11"/>
    </row>
    <row r="373">
      <c r="A373" s="11"/>
      <c r="B373" s="11"/>
      <c r="C373" s="11"/>
      <c r="D373" s="11"/>
      <c r="E373" s="11"/>
    </row>
    <row r="374">
      <c r="A374" s="11"/>
      <c r="B374" s="11"/>
      <c r="C374" s="11"/>
      <c r="D374" s="11"/>
      <c r="E374" s="11"/>
    </row>
    <row r="375">
      <c r="A375" s="11"/>
      <c r="B375" s="11"/>
      <c r="C375" s="11"/>
      <c r="D375" s="11"/>
      <c r="E375" s="11"/>
    </row>
    <row r="376">
      <c r="A376" s="11"/>
      <c r="B376" s="11"/>
      <c r="C376" s="11"/>
      <c r="D376" s="11"/>
      <c r="E376" s="11"/>
    </row>
    <row r="377">
      <c r="A377" s="11"/>
      <c r="B377" s="11"/>
      <c r="C377" s="11"/>
      <c r="D377" s="11"/>
      <c r="E377" s="11"/>
    </row>
    <row r="378">
      <c r="A378" s="11"/>
      <c r="B378" s="11"/>
      <c r="C378" s="11"/>
      <c r="D378" s="11"/>
      <c r="E378" s="11"/>
    </row>
    <row r="379">
      <c r="A379" s="11"/>
      <c r="B379" s="11"/>
      <c r="C379" s="11"/>
      <c r="D379" s="11"/>
      <c r="E379" s="11"/>
    </row>
    <row r="380">
      <c r="A380" s="11"/>
      <c r="B380" s="11"/>
      <c r="C380" s="11"/>
      <c r="D380" s="11"/>
      <c r="E380" s="11"/>
    </row>
    <row r="381">
      <c r="A381" s="11"/>
      <c r="B381" s="11"/>
      <c r="C381" s="11"/>
      <c r="D381" s="11"/>
      <c r="E381" s="11"/>
    </row>
    <row r="382">
      <c r="A382" s="11"/>
      <c r="B382" s="11"/>
      <c r="C382" s="11"/>
      <c r="D382" s="11"/>
      <c r="E382" s="11"/>
    </row>
    <row r="383">
      <c r="A383" s="11"/>
      <c r="B383" s="11"/>
      <c r="C383" s="11"/>
      <c r="D383" s="11"/>
      <c r="E383" s="11"/>
    </row>
    <row r="384">
      <c r="A384" s="11"/>
      <c r="B384" s="11"/>
      <c r="C384" s="11"/>
      <c r="D384" s="11"/>
      <c r="E384" s="11"/>
    </row>
    <row r="385">
      <c r="A385" s="11"/>
      <c r="B385" s="11"/>
      <c r="C385" s="11"/>
      <c r="D385" s="11"/>
      <c r="E385" s="11"/>
    </row>
    <row r="386">
      <c r="A386" s="11"/>
      <c r="B386" s="11"/>
      <c r="C386" s="11"/>
      <c r="D386" s="11"/>
      <c r="E386" s="11"/>
    </row>
    <row r="387">
      <c r="A387" s="11"/>
      <c r="B387" s="11"/>
      <c r="C387" s="11"/>
      <c r="D387" s="11"/>
      <c r="E387" s="11"/>
    </row>
    <row r="388">
      <c r="A388" s="11"/>
      <c r="B388" s="11"/>
      <c r="C388" s="11"/>
      <c r="D388" s="11"/>
      <c r="E388" s="11"/>
    </row>
    <row r="389">
      <c r="A389" s="11"/>
      <c r="B389" s="11"/>
      <c r="C389" s="11"/>
      <c r="D389" s="11"/>
      <c r="E389" s="11"/>
    </row>
    <row r="390">
      <c r="A390" s="11"/>
      <c r="B390" s="11"/>
      <c r="C390" s="11"/>
      <c r="D390" s="11"/>
      <c r="E390" s="11"/>
    </row>
    <row r="391">
      <c r="A391" s="11"/>
      <c r="B391" s="11"/>
      <c r="C391" s="11"/>
      <c r="D391" s="11"/>
      <c r="E391" s="11"/>
    </row>
    <row r="392">
      <c r="A392" s="11"/>
      <c r="B392" s="11"/>
      <c r="C392" s="11"/>
      <c r="D392" s="11"/>
      <c r="E392" s="11"/>
    </row>
    <row r="393">
      <c r="A393" s="11"/>
      <c r="B393" s="11"/>
      <c r="C393" s="11"/>
      <c r="D393" s="11"/>
      <c r="E393" s="11"/>
    </row>
    <row r="394">
      <c r="A394" s="11"/>
      <c r="B394" s="11"/>
      <c r="C394" s="11"/>
      <c r="D394" s="11"/>
      <c r="E394" s="11"/>
    </row>
    <row r="395">
      <c r="A395" s="11"/>
      <c r="B395" s="11"/>
      <c r="C395" s="11"/>
      <c r="D395" s="11"/>
      <c r="E395" s="11"/>
    </row>
    <row r="396">
      <c r="A396" s="11"/>
      <c r="B396" s="11"/>
      <c r="C396" s="11"/>
      <c r="D396" s="11"/>
      <c r="E396" s="11"/>
    </row>
    <row r="397">
      <c r="A397" s="11"/>
      <c r="B397" s="11"/>
      <c r="C397" s="11"/>
      <c r="D397" s="11"/>
      <c r="E397" s="11"/>
    </row>
    <row r="398">
      <c r="A398" s="11"/>
      <c r="B398" s="11"/>
      <c r="C398" s="11"/>
      <c r="D398" s="11"/>
      <c r="E398" s="11"/>
    </row>
    <row r="399">
      <c r="A399" s="11"/>
      <c r="B399" s="11"/>
      <c r="C399" s="11"/>
      <c r="D399" s="11"/>
      <c r="E399" s="11"/>
    </row>
    <row r="400">
      <c r="A400" s="11"/>
      <c r="B400" s="11"/>
      <c r="C400" s="11"/>
      <c r="D400" s="11"/>
      <c r="E400" s="11"/>
    </row>
    <row r="401">
      <c r="A401" s="11"/>
      <c r="B401" s="11"/>
      <c r="C401" s="11"/>
      <c r="D401" s="11"/>
      <c r="E401" s="11"/>
    </row>
    <row r="402">
      <c r="A402" s="11"/>
      <c r="B402" s="11"/>
      <c r="C402" s="11"/>
      <c r="D402" s="11"/>
      <c r="E402" s="11"/>
    </row>
    <row r="403">
      <c r="A403" s="11"/>
      <c r="B403" s="11"/>
      <c r="C403" s="11"/>
      <c r="D403" s="11"/>
      <c r="E403" s="11"/>
    </row>
    <row r="404">
      <c r="A404" s="11"/>
      <c r="B404" s="11"/>
      <c r="C404" s="11"/>
      <c r="D404" s="11"/>
      <c r="E404" s="11"/>
    </row>
    <row r="405">
      <c r="A405" s="11"/>
      <c r="B405" s="11"/>
      <c r="C405" s="11"/>
      <c r="D405" s="11"/>
      <c r="E405" s="11"/>
    </row>
    <row r="406">
      <c r="A406" s="11"/>
      <c r="B406" s="11"/>
      <c r="C406" s="11"/>
      <c r="D406" s="11"/>
      <c r="E406" s="11"/>
    </row>
    <row r="407">
      <c r="A407" s="11"/>
      <c r="B407" s="11"/>
      <c r="C407" s="11"/>
      <c r="D407" s="11"/>
      <c r="E407" s="11"/>
    </row>
    <row r="408">
      <c r="A408" s="11"/>
      <c r="B408" s="11"/>
      <c r="C408" s="11"/>
      <c r="D408" s="11"/>
      <c r="E408" s="11"/>
    </row>
    <row r="409">
      <c r="A409" s="11"/>
      <c r="B409" s="11"/>
      <c r="C409" s="11"/>
      <c r="D409" s="11"/>
      <c r="E409" s="11"/>
    </row>
    <row r="410">
      <c r="A410" s="11"/>
      <c r="B410" s="11"/>
      <c r="C410" s="11"/>
      <c r="D410" s="11"/>
      <c r="E410" s="11"/>
    </row>
    <row r="411">
      <c r="A411" s="11"/>
      <c r="B411" s="11"/>
      <c r="C411" s="11"/>
      <c r="D411" s="11"/>
      <c r="E411" s="11"/>
    </row>
    <row r="412">
      <c r="A412" s="11"/>
      <c r="B412" s="11"/>
      <c r="C412" s="11"/>
      <c r="D412" s="11"/>
      <c r="E412" s="11"/>
    </row>
    <row r="413">
      <c r="A413" s="11"/>
      <c r="B413" s="11"/>
      <c r="C413" s="11"/>
      <c r="D413" s="11"/>
      <c r="E413" s="11"/>
    </row>
    <row r="414">
      <c r="A414" s="11"/>
      <c r="B414" s="11"/>
      <c r="C414" s="11"/>
      <c r="D414" s="11"/>
      <c r="E414" s="11"/>
    </row>
    <row r="415">
      <c r="A415" s="11"/>
      <c r="B415" s="11"/>
      <c r="C415" s="11"/>
      <c r="D415" s="11"/>
      <c r="E415" s="11"/>
    </row>
    <row r="416">
      <c r="A416" s="11"/>
      <c r="B416" s="11"/>
      <c r="C416" s="11"/>
      <c r="D416" s="11"/>
      <c r="E416" s="11"/>
    </row>
    <row r="417">
      <c r="A417" s="11"/>
      <c r="B417" s="11"/>
      <c r="C417" s="11"/>
      <c r="D417" s="11"/>
      <c r="E417" s="11"/>
    </row>
    <row r="418">
      <c r="A418" s="11"/>
      <c r="B418" s="11"/>
      <c r="C418" s="11"/>
      <c r="D418" s="11"/>
      <c r="E418" s="11"/>
    </row>
    <row r="419">
      <c r="A419" s="11"/>
      <c r="B419" s="11"/>
      <c r="C419" s="11"/>
      <c r="D419" s="11"/>
      <c r="E419" s="11"/>
    </row>
    <row r="420">
      <c r="A420" s="11"/>
      <c r="B420" s="11"/>
      <c r="C420" s="11"/>
      <c r="D420" s="11"/>
      <c r="E420" s="11"/>
    </row>
    <row r="421">
      <c r="A421" s="11"/>
      <c r="B421" s="11"/>
      <c r="C421" s="11"/>
      <c r="D421" s="11"/>
      <c r="E421" s="11"/>
    </row>
    <row r="422">
      <c r="A422" s="11"/>
      <c r="B422" s="11"/>
      <c r="C422" s="11"/>
      <c r="D422" s="11"/>
      <c r="E422" s="11"/>
    </row>
    <row r="423">
      <c r="A423" s="11"/>
      <c r="B423" s="11"/>
      <c r="C423" s="11"/>
      <c r="D423" s="11"/>
      <c r="E423" s="11"/>
    </row>
    <row r="424">
      <c r="A424" s="11"/>
      <c r="B424" s="11"/>
      <c r="C424" s="11"/>
      <c r="D424" s="11"/>
      <c r="E424" s="11"/>
    </row>
    <row r="425">
      <c r="A425" s="11"/>
      <c r="B425" s="11"/>
      <c r="C425" s="11"/>
      <c r="D425" s="11"/>
      <c r="E425" s="11"/>
    </row>
    <row r="426">
      <c r="A426" s="11"/>
      <c r="B426" s="11"/>
      <c r="C426" s="11"/>
      <c r="D426" s="11"/>
      <c r="E426" s="11"/>
    </row>
    <row r="427">
      <c r="A427" s="11"/>
      <c r="B427" s="11"/>
      <c r="C427" s="11"/>
      <c r="D427" s="11"/>
      <c r="E427" s="11"/>
    </row>
    <row r="428">
      <c r="A428" s="11"/>
      <c r="B428" s="11"/>
      <c r="C428" s="11"/>
      <c r="D428" s="11"/>
      <c r="E428" s="11"/>
    </row>
    <row r="429">
      <c r="A429" s="11"/>
      <c r="B429" s="11"/>
      <c r="C429" s="11"/>
      <c r="D429" s="11"/>
      <c r="E429" s="11"/>
    </row>
    <row r="430">
      <c r="A430" s="11"/>
      <c r="B430" s="11"/>
      <c r="C430" s="11"/>
      <c r="D430" s="11"/>
      <c r="E430" s="11"/>
    </row>
    <row r="431">
      <c r="A431" s="11"/>
      <c r="B431" s="11"/>
      <c r="C431" s="11"/>
      <c r="D431" s="11"/>
      <c r="E431" s="11"/>
    </row>
    <row r="432">
      <c r="A432" s="11"/>
      <c r="B432" s="11"/>
      <c r="C432" s="11"/>
      <c r="D432" s="11"/>
      <c r="E432" s="11"/>
    </row>
    <row r="433">
      <c r="A433" s="11"/>
      <c r="B433" s="11"/>
      <c r="C433" s="11"/>
      <c r="D433" s="11"/>
      <c r="E433" s="11"/>
    </row>
    <row r="434">
      <c r="A434" s="11"/>
      <c r="B434" s="11"/>
      <c r="C434" s="11"/>
      <c r="D434" s="11"/>
      <c r="E434" s="11"/>
    </row>
    <row r="435">
      <c r="A435" s="11"/>
      <c r="B435" s="11"/>
      <c r="C435" s="11"/>
      <c r="D435" s="11"/>
      <c r="E435" s="11"/>
    </row>
    <row r="436">
      <c r="A436" s="11"/>
      <c r="B436" s="11"/>
      <c r="C436" s="11"/>
      <c r="D436" s="11"/>
      <c r="E436" s="11"/>
    </row>
    <row r="437">
      <c r="A437" s="11"/>
      <c r="B437" s="11"/>
      <c r="C437" s="11"/>
      <c r="D437" s="11"/>
      <c r="E437" s="11"/>
    </row>
    <row r="438">
      <c r="A438" s="11"/>
      <c r="B438" s="11"/>
      <c r="C438" s="11"/>
      <c r="D438" s="11"/>
      <c r="E438" s="11"/>
    </row>
    <row r="439">
      <c r="A439" s="11"/>
      <c r="B439" s="11"/>
      <c r="C439" s="11"/>
      <c r="D439" s="11"/>
      <c r="E439" s="11"/>
    </row>
    <row r="440">
      <c r="A440" s="11"/>
      <c r="B440" s="11"/>
      <c r="C440" s="11"/>
      <c r="D440" s="11"/>
      <c r="E440" s="11"/>
    </row>
    <row r="441">
      <c r="A441" s="11"/>
      <c r="B441" s="11"/>
      <c r="C441" s="11"/>
      <c r="D441" s="11"/>
      <c r="E441" s="11"/>
    </row>
    <row r="442">
      <c r="A442" s="11"/>
      <c r="B442" s="11"/>
      <c r="C442" s="11"/>
      <c r="D442" s="11"/>
      <c r="E442" s="11"/>
    </row>
    <row r="443">
      <c r="A443" s="11"/>
      <c r="B443" s="11"/>
      <c r="C443" s="11"/>
      <c r="D443" s="11"/>
      <c r="E443" s="11"/>
    </row>
    <row r="444">
      <c r="A444" s="11"/>
      <c r="B444" s="11"/>
      <c r="C444" s="11"/>
      <c r="D444" s="11"/>
      <c r="E444" s="11"/>
    </row>
    <row r="445">
      <c r="A445" s="11"/>
      <c r="B445" s="11"/>
      <c r="C445" s="11"/>
      <c r="D445" s="11"/>
      <c r="E445" s="11"/>
    </row>
    <row r="446">
      <c r="A446" s="11"/>
      <c r="B446" s="11"/>
      <c r="C446" s="11"/>
      <c r="D446" s="11"/>
      <c r="E446" s="11"/>
    </row>
    <row r="447">
      <c r="A447" s="11"/>
      <c r="B447" s="11"/>
      <c r="C447" s="11"/>
      <c r="D447" s="11"/>
      <c r="E447" s="11"/>
    </row>
    <row r="448">
      <c r="A448" s="11"/>
      <c r="B448" s="11"/>
      <c r="C448" s="11"/>
      <c r="D448" s="11"/>
      <c r="E448" s="11"/>
    </row>
    <row r="449">
      <c r="A449" s="11"/>
      <c r="B449" s="11"/>
      <c r="C449" s="11"/>
      <c r="D449" s="11"/>
      <c r="E449" s="11"/>
    </row>
    <row r="450">
      <c r="A450" s="11"/>
      <c r="B450" s="11"/>
      <c r="C450" s="11"/>
      <c r="D450" s="11"/>
      <c r="E450" s="11"/>
    </row>
    <row r="451">
      <c r="A451" s="11"/>
      <c r="B451" s="11"/>
      <c r="C451" s="11"/>
      <c r="D451" s="11"/>
      <c r="E451" s="11"/>
    </row>
    <row r="452">
      <c r="A452" s="11"/>
      <c r="B452" s="11"/>
      <c r="C452" s="11"/>
      <c r="D452" s="11"/>
      <c r="E452" s="11"/>
    </row>
    <row r="453">
      <c r="A453" s="11"/>
      <c r="B453" s="11"/>
      <c r="C453" s="11"/>
      <c r="D453" s="11"/>
      <c r="E453" s="11"/>
    </row>
    <row r="454">
      <c r="A454" s="11"/>
      <c r="B454" s="11"/>
      <c r="C454" s="11"/>
      <c r="D454" s="11"/>
      <c r="E454" s="11"/>
    </row>
    <row r="455">
      <c r="A455" s="11"/>
      <c r="B455" s="11"/>
      <c r="C455" s="11"/>
      <c r="D455" s="11"/>
      <c r="E455" s="11"/>
    </row>
    <row r="456">
      <c r="A456" s="11"/>
      <c r="B456" s="11"/>
      <c r="C456" s="11"/>
      <c r="D456" s="11"/>
      <c r="E456" s="11"/>
    </row>
    <row r="457">
      <c r="A457" s="11"/>
      <c r="B457" s="11"/>
      <c r="C457" s="11"/>
      <c r="D457" s="11"/>
      <c r="E457" s="11"/>
    </row>
    <row r="458">
      <c r="A458" s="11"/>
      <c r="B458" s="11"/>
      <c r="C458" s="11"/>
      <c r="D458" s="11"/>
      <c r="E458" s="11"/>
    </row>
    <row r="459">
      <c r="A459" s="11"/>
      <c r="B459" s="11"/>
      <c r="C459" s="11"/>
      <c r="D459" s="11"/>
      <c r="E459" s="11"/>
    </row>
    <row r="460">
      <c r="A460" s="11"/>
      <c r="B460" s="11"/>
      <c r="C460" s="11"/>
      <c r="D460" s="11"/>
      <c r="E460" s="11"/>
    </row>
    <row r="461">
      <c r="A461" s="11"/>
      <c r="B461" s="11"/>
      <c r="C461" s="11"/>
      <c r="D461" s="11"/>
      <c r="E461" s="11"/>
    </row>
    <row r="462">
      <c r="A462" s="11"/>
      <c r="B462" s="11"/>
      <c r="C462" s="11"/>
      <c r="D462" s="11"/>
      <c r="E462" s="11"/>
    </row>
    <row r="463">
      <c r="A463" s="11"/>
      <c r="B463" s="11"/>
      <c r="C463" s="11"/>
      <c r="D463" s="11"/>
      <c r="E463" s="11"/>
    </row>
    <row r="464">
      <c r="A464" s="11"/>
      <c r="B464" s="11"/>
      <c r="C464" s="11"/>
      <c r="D464" s="11"/>
      <c r="E464" s="11"/>
    </row>
    <row r="465">
      <c r="A465" s="11"/>
      <c r="B465" s="11"/>
      <c r="C465" s="11"/>
      <c r="D465" s="11"/>
      <c r="E465" s="11"/>
    </row>
    <row r="466">
      <c r="A466" s="11"/>
      <c r="B466" s="11"/>
      <c r="C466" s="11"/>
      <c r="D466" s="11"/>
      <c r="E466" s="11"/>
    </row>
    <row r="467">
      <c r="A467" s="11"/>
      <c r="B467" s="11"/>
      <c r="C467" s="11"/>
      <c r="D467" s="11"/>
      <c r="E467" s="11"/>
    </row>
    <row r="468">
      <c r="A468" s="11"/>
      <c r="B468" s="11"/>
      <c r="C468" s="11"/>
      <c r="D468" s="11"/>
      <c r="E468" s="11"/>
    </row>
    <row r="469">
      <c r="A469" s="11"/>
      <c r="B469" s="11"/>
      <c r="C469" s="11"/>
      <c r="D469" s="11"/>
      <c r="E469" s="11"/>
    </row>
    <row r="470">
      <c r="A470" s="11"/>
      <c r="B470" s="11"/>
      <c r="C470" s="11"/>
      <c r="D470" s="11"/>
      <c r="E470" s="11"/>
    </row>
    <row r="471">
      <c r="A471" s="11"/>
      <c r="B471" s="11"/>
      <c r="C471" s="11"/>
      <c r="D471" s="11"/>
      <c r="E471" s="11"/>
    </row>
    <row r="472">
      <c r="A472" s="11"/>
      <c r="B472" s="11"/>
      <c r="C472" s="11"/>
      <c r="D472" s="11"/>
      <c r="E472" s="11"/>
    </row>
    <row r="473">
      <c r="A473" s="11"/>
      <c r="B473" s="11"/>
      <c r="C473" s="11"/>
      <c r="D473" s="11"/>
      <c r="E473" s="11"/>
    </row>
    <row r="474">
      <c r="A474" s="11"/>
      <c r="B474" s="11"/>
      <c r="C474" s="11"/>
      <c r="D474" s="11"/>
      <c r="E474" s="11"/>
    </row>
    <row r="475">
      <c r="A475" s="11"/>
      <c r="B475" s="11"/>
      <c r="C475" s="11"/>
      <c r="D475" s="11"/>
      <c r="E475" s="11"/>
    </row>
    <row r="476">
      <c r="A476" s="11"/>
      <c r="B476" s="11"/>
      <c r="C476" s="11"/>
      <c r="D476" s="11"/>
      <c r="E476" s="11"/>
    </row>
    <row r="477">
      <c r="A477" s="11"/>
      <c r="B477" s="11"/>
      <c r="C477" s="11"/>
      <c r="D477" s="11"/>
      <c r="E477" s="11"/>
    </row>
    <row r="478">
      <c r="A478" s="11"/>
      <c r="B478" s="11"/>
      <c r="C478" s="11"/>
      <c r="D478" s="11"/>
      <c r="E478" s="11"/>
    </row>
    <row r="479">
      <c r="A479" s="11"/>
      <c r="B479" s="11"/>
      <c r="C479" s="11"/>
      <c r="D479" s="11"/>
      <c r="E479" s="11"/>
    </row>
    <row r="480">
      <c r="A480" s="11"/>
      <c r="B480" s="11"/>
      <c r="C480" s="11"/>
      <c r="D480" s="11"/>
      <c r="E480" s="11"/>
    </row>
    <row r="481">
      <c r="A481" s="11"/>
      <c r="B481" s="11"/>
      <c r="C481" s="11"/>
      <c r="D481" s="11"/>
      <c r="E481" s="11"/>
    </row>
    <row r="482">
      <c r="A482" s="11"/>
      <c r="B482" s="11"/>
      <c r="C482" s="11"/>
      <c r="D482" s="11"/>
      <c r="E482" s="11"/>
    </row>
    <row r="483">
      <c r="A483" s="11"/>
      <c r="B483" s="11"/>
      <c r="C483" s="11"/>
      <c r="D483" s="11"/>
      <c r="E483" s="11"/>
    </row>
    <row r="484">
      <c r="A484" s="11"/>
      <c r="B484" s="11"/>
      <c r="C484" s="11"/>
      <c r="D484" s="11"/>
      <c r="E484" s="11"/>
    </row>
    <row r="485">
      <c r="A485" s="11"/>
      <c r="B485" s="11"/>
      <c r="C485" s="11"/>
      <c r="D485" s="11"/>
      <c r="E485" s="11"/>
    </row>
    <row r="486">
      <c r="A486" s="11"/>
      <c r="B486" s="11"/>
      <c r="C486" s="11"/>
      <c r="D486" s="11"/>
      <c r="E486" s="11"/>
    </row>
    <row r="487">
      <c r="A487" s="11"/>
      <c r="B487" s="11"/>
      <c r="C487" s="11"/>
      <c r="D487" s="11"/>
      <c r="E487" s="11"/>
    </row>
    <row r="488">
      <c r="A488" s="11"/>
      <c r="B488" s="11"/>
      <c r="C488" s="11"/>
      <c r="D488" s="11"/>
      <c r="E488" s="11"/>
    </row>
    <row r="489">
      <c r="A489" s="11"/>
      <c r="B489" s="11"/>
      <c r="C489" s="11"/>
      <c r="D489" s="11"/>
      <c r="E489" s="11"/>
    </row>
    <row r="490">
      <c r="A490" s="11"/>
      <c r="B490" s="11"/>
      <c r="C490" s="11"/>
      <c r="D490" s="11"/>
      <c r="E490" s="11"/>
    </row>
    <row r="491">
      <c r="A491" s="11"/>
      <c r="B491" s="11"/>
      <c r="C491" s="11"/>
      <c r="D491" s="11"/>
      <c r="E491" s="11"/>
    </row>
    <row r="492">
      <c r="A492" s="11"/>
      <c r="B492" s="11"/>
      <c r="C492" s="11"/>
      <c r="D492" s="11"/>
      <c r="E492" s="11"/>
    </row>
    <row r="493">
      <c r="A493" s="11"/>
      <c r="B493" s="11"/>
      <c r="C493" s="11"/>
      <c r="D493" s="11"/>
      <c r="E493" s="11"/>
    </row>
    <row r="494">
      <c r="A494" s="11"/>
      <c r="B494" s="11"/>
      <c r="C494" s="11"/>
      <c r="D494" s="11"/>
      <c r="E494" s="11"/>
    </row>
    <row r="495">
      <c r="A495" s="11"/>
      <c r="B495" s="11"/>
      <c r="C495" s="11"/>
      <c r="D495" s="11"/>
      <c r="E495" s="11"/>
    </row>
    <row r="496">
      <c r="A496" s="11"/>
      <c r="B496" s="11"/>
      <c r="C496" s="11"/>
      <c r="D496" s="11"/>
      <c r="E496" s="11"/>
    </row>
    <row r="497">
      <c r="A497" s="11"/>
      <c r="B497" s="11"/>
      <c r="C497" s="11"/>
      <c r="D497" s="11"/>
      <c r="E497" s="11"/>
    </row>
    <row r="498">
      <c r="A498" s="11"/>
      <c r="B498" s="11"/>
      <c r="C498" s="11"/>
      <c r="D498" s="11"/>
      <c r="E498" s="11"/>
    </row>
    <row r="499">
      <c r="A499" s="11"/>
      <c r="B499" s="11"/>
      <c r="C499" s="11"/>
      <c r="D499" s="11"/>
      <c r="E499" s="11"/>
    </row>
    <row r="500">
      <c r="A500" s="11"/>
      <c r="B500" s="11"/>
      <c r="C500" s="11"/>
      <c r="D500" s="11"/>
      <c r="E500" s="11"/>
    </row>
    <row r="501">
      <c r="A501" s="11"/>
      <c r="B501" s="11"/>
      <c r="C501" s="11"/>
      <c r="D501" s="11"/>
      <c r="E501" s="11"/>
    </row>
    <row r="502">
      <c r="A502" s="11"/>
      <c r="B502" s="11"/>
      <c r="C502" s="11"/>
      <c r="D502" s="11"/>
      <c r="E502" s="11"/>
    </row>
    <row r="503">
      <c r="A503" s="11"/>
      <c r="B503" s="11"/>
      <c r="C503" s="11"/>
      <c r="D503" s="11"/>
      <c r="E503" s="11"/>
    </row>
    <row r="504">
      <c r="A504" s="11"/>
      <c r="B504" s="11"/>
      <c r="C504" s="11"/>
      <c r="D504" s="11"/>
      <c r="E504" s="11"/>
    </row>
    <row r="505">
      <c r="A505" s="11"/>
      <c r="B505" s="11"/>
      <c r="C505" s="11"/>
      <c r="D505" s="11"/>
      <c r="E505" s="11"/>
    </row>
    <row r="506">
      <c r="A506" s="11"/>
      <c r="B506" s="11"/>
      <c r="C506" s="11"/>
      <c r="D506" s="11"/>
      <c r="E506" s="11"/>
    </row>
    <row r="507">
      <c r="A507" s="11"/>
      <c r="B507" s="11"/>
      <c r="C507" s="11"/>
      <c r="D507" s="11"/>
      <c r="E507" s="11"/>
    </row>
    <row r="508">
      <c r="A508" s="11"/>
      <c r="B508" s="11"/>
      <c r="C508" s="11"/>
      <c r="D508" s="11"/>
      <c r="E508" s="11"/>
    </row>
    <row r="509">
      <c r="A509" s="11"/>
      <c r="B509" s="11"/>
      <c r="C509" s="11"/>
      <c r="D509" s="11"/>
      <c r="E509" s="11"/>
    </row>
    <row r="510">
      <c r="A510" s="11"/>
      <c r="B510" s="11"/>
      <c r="C510" s="11"/>
      <c r="D510" s="11"/>
      <c r="E510" s="11"/>
    </row>
    <row r="511">
      <c r="A511" s="11"/>
      <c r="B511" s="11"/>
      <c r="C511" s="11"/>
      <c r="D511" s="11"/>
      <c r="E511" s="11"/>
    </row>
    <row r="512">
      <c r="A512" s="11"/>
      <c r="B512" s="11"/>
      <c r="C512" s="11"/>
      <c r="D512" s="11"/>
      <c r="E512" s="11"/>
    </row>
    <row r="513">
      <c r="A513" s="11"/>
      <c r="B513" s="11"/>
      <c r="C513" s="11"/>
      <c r="D513" s="11"/>
      <c r="E513" s="11"/>
    </row>
    <row r="514">
      <c r="A514" s="11"/>
      <c r="B514" s="11"/>
      <c r="C514" s="11"/>
      <c r="D514" s="11"/>
      <c r="E514" s="11"/>
    </row>
    <row r="515">
      <c r="A515" s="11"/>
      <c r="B515" s="11"/>
      <c r="C515" s="11"/>
      <c r="D515" s="11"/>
      <c r="E515" s="11"/>
    </row>
    <row r="516">
      <c r="A516" s="11"/>
      <c r="B516" s="11"/>
      <c r="C516" s="11"/>
      <c r="D516" s="11"/>
      <c r="E516" s="11"/>
    </row>
    <row r="517">
      <c r="A517" s="11"/>
      <c r="B517" s="11"/>
      <c r="C517" s="11"/>
      <c r="D517" s="11"/>
      <c r="E517" s="11"/>
    </row>
    <row r="518">
      <c r="A518" s="11"/>
      <c r="B518" s="11"/>
      <c r="C518" s="11"/>
      <c r="D518" s="11"/>
      <c r="E518" s="11"/>
    </row>
    <row r="519">
      <c r="A519" s="11"/>
      <c r="B519" s="11"/>
      <c r="C519" s="11"/>
      <c r="D519" s="11"/>
      <c r="E519" s="11"/>
    </row>
    <row r="520">
      <c r="A520" s="11"/>
      <c r="B520" s="11"/>
      <c r="C520" s="11"/>
      <c r="D520" s="11"/>
      <c r="E520" s="11"/>
    </row>
    <row r="521">
      <c r="A521" s="11"/>
      <c r="B521" s="11"/>
      <c r="C521" s="11"/>
      <c r="D521" s="11"/>
      <c r="E521" s="11"/>
    </row>
    <row r="522">
      <c r="A522" s="11"/>
      <c r="B522" s="11"/>
      <c r="C522" s="11"/>
      <c r="D522" s="11"/>
      <c r="E522" s="11"/>
    </row>
    <row r="523">
      <c r="A523" s="11"/>
      <c r="B523" s="11"/>
      <c r="C523" s="11"/>
      <c r="D523" s="11"/>
      <c r="E523" s="11"/>
    </row>
    <row r="524">
      <c r="A524" s="11"/>
      <c r="B524" s="11"/>
      <c r="C524" s="11"/>
      <c r="D524" s="11"/>
      <c r="E524" s="11"/>
    </row>
    <row r="525">
      <c r="A525" s="11"/>
      <c r="B525" s="11"/>
      <c r="C525" s="11"/>
      <c r="D525" s="11"/>
      <c r="E525" s="11"/>
    </row>
    <row r="526">
      <c r="A526" s="11"/>
      <c r="B526" s="11"/>
      <c r="C526" s="11"/>
      <c r="D526" s="11"/>
      <c r="E526" s="11"/>
    </row>
    <row r="527">
      <c r="A527" s="11"/>
      <c r="B527" s="11"/>
      <c r="C527" s="11"/>
      <c r="D527" s="11"/>
      <c r="E527" s="11"/>
    </row>
    <row r="528">
      <c r="A528" s="11"/>
      <c r="B528" s="11"/>
      <c r="C528" s="11"/>
      <c r="D528" s="11"/>
      <c r="E528" s="11"/>
    </row>
    <row r="529">
      <c r="A529" s="11"/>
      <c r="B529" s="11"/>
      <c r="C529" s="11"/>
      <c r="D529" s="11"/>
      <c r="E529" s="11"/>
    </row>
    <row r="530">
      <c r="A530" s="11"/>
      <c r="B530" s="11"/>
      <c r="C530" s="11"/>
      <c r="D530" s="11"/>
      <c r="E530" s="11"/>
    </row>
    <row r="531">
      <c r="A531" s="11"/>
      <c r="B531" s="11"/>
      <c r="C531" s="11"/>
      <c r="D531" s="11"/>
      <c r="E531" s="11"/>
    </row>
    <row r="532">
      <c r="A532" s="11"/>
      <c r="B532" s="11"/>
      <c r="C532" s="11"/>
      <c r="D532" s="11"/>
      <c r="E532" s="11"/>
    </row>
    <row r="533">
      <c r="A533" s="11"/>
      <c r="B533" s="11"/>
      <c r="C533" s="11"/>
      <c r="D533" s="11"/>
      <c r="E533" s="11"/>
    </row>
    <row r="534">
      <c r="A534" s="11"/>
      <c r="B534" s="11"/>
      <c r="C534" s="11"/>
      <c r="D534" s="11"/>
      <c r="E534" s="11"/>
    </row>
    <row r="535">
      <c r="A535" s="11"/>
      <c r="B535" s="11"/>
      <c r="C535" s="11"/>
      <c r="D535" s="11"/>
      <c r="E535" s="11"/>
    </row>
    <row r="536">
      <c r="A536" s="11"/>
      <c r="B536" s="11"/>
      <c r="C536" s="11"/>
      <c r="D536" s="11"/>
      <c r="E536" s="11"/>
    </row>
    <row r="537">
      <c r="A537" s="11"/>
      <c r="B537" s="11"/>
      <c r="C537" s="11"/>
      <c r="D537" s="11"/>
      <c r="E537" s="11"/>
    </row>
    <row r="538">
      <c r="A538" s="11"/>
      <c r="B538" s="11"/>
      <c r="C538" s="11"/>
      <c r="D538" s="11"/>
      <c r="E538" s="11"/>
    </row>
    <row r="539">
      <c r="A539" s="11"/>
      <c r="B539" s="11"/>
      <c r="C539" s="11"/>
      <c r="D539" s="11"/>
      <c r="E539" s="11"/>
    </row>
    <row r="540">
      <c r="A540" s="11"/>
      <c r="B540" s="11"/>
      <c r="C540" s="11"/>
      <c r="D540" s="11"/>
      <c r="E540" s="11"/>
    </row>
    <row r="541">
      <c r="A541" s="11"/>
      <c r="B541" s="11"/>
      <c r="C541" s="11"/>
      <c r="D541" s="11"/>
      <c r="E541" s="11"/>
    </row>
    <row r="542">
      <c r="A542" s="11"/>
      <c r="B542" s="11"/>
      <c r="C542" s="11"/>
      <c r="D542" s="11"/>
      <c r="E542" s="11"/>
    </row>
    <row r="543">
      <c r="A543" s="11"/>
      <c r="B543" s="11"/>
      <c r="C543" s="11"/>
      <c r="D543" s="11"/>
      <c r="E543" s="11"/>
    </row>
    <row r="544">
      <c r="A544" s="11"/>
      <c r="B544" s="11"/>
      <c r="C544" s="11"/>
      <c r="D544" s="11"/>
      <c r="E544" s="11"/>
    </row>
    <row r="545">
      <c r="A545" s="11"/>
      <c r="B545" s="11"/>
      <c r="C545" s="11"/>
      <c r="D545" s="11"/>
      <c r="E545" s="11"/>
    </row>
    <row r="546">
      <c r="A546" s="11"/>
      <c r="B546" s="11"/>
      <c r="C546" s="11"/>
      <c r="D546" s="11"/>
      <c r="E546" s="11"/>
    </row>
    <row r="547">
      <c r="A547" s="11"/>
      <c r="B547" s="11"/>
      <c r="C547" s="11"/>
      <c r="D547" s="11"/>
      <c r="E547" s="11"/>
    </row>
    <row r="548">
      <c r="A548" s="11"/>
      <c r="B548" s="11"/>
      <c r="C548" s="11"/>
      <c r="D548" s="11"/>
      <c r="E548" s="11"/>
    </row>
    <row r="549">
      <c r="A549" s="11"/>
      <c r="B549" s="11"/>
      <c r="C549" s="11"/>
      <c r="D549" s="11"/>
      <c r="E549" s="11"/>
    </row>
    <row r="550">
      <c r="A550" s="11"/>
      <c r="B550" s="11"/>
      <c r="C550" s="11"/>
      <c r="D550" s="11"/>
      <c r="E550" s="11"/>
    </row>
    <row r="551">
      <c r="A551" s="11"/>
      <c r="B551" s="11"/>
      <c r="C551" s="11"/>
      <c r="D551" s="11"/>
      <c r="E551" s="11"/>
    </row>
    <row r="552">
      <c r="A552" s="11"/>
      <c r="B552" s="11"/>
      <c r="C552" s="11"/>
      <c r="D552" s="11"/>
      <c r="E552" s="11"/>
    </row>
    <row r="553">
      <c r="A553" s="11"/>
      <c r="B553" s="11"/>
      <c r="C553" s="11"/>
      <c r="D553" s="11"/>
      <c r="E553" s="11"/>
    </row>
    <row r="554">
      <c r="A554" s="11"/>
      <c r="B554" s="11"/>
      <c r="C554" s="11"/>
      <c r="D554" s="11"/>
      <c r="E554" s="11"/>
    </row>
    <row r="555">
      <c r="A555" s="11"/>
      <c r="B555" s="11"/>
      <c r="C555" s="11"/>
      <c r="D555" s="11"/>
      <c r="E555" s="11"/>
    </row>
    <row r="556">
      <c r="A556" s="11"/>
      <c r="B556" s="11"/>
      <c r="C556" s="11"/>
      <c r="D556" s="11"/>
      <c r="E556" s="11"/>
    </row>
    <row r="557">
      <c r="A557" s="11"/>
      <c r="B557" s="11"/>
      <c r="C557" s="11"/>
      <c r="D557" s="11"/>
      <c r="E557" s="11"/>
    </row>
    <row r="558">
      <c r="A558" s="11"/>
      <c r="B558" s="11"/>
      <c r="C558" s="11"/>
      <c r="D558" s="11"/>
      <c r="E558" s="11"/>
    </row>
    <row r="559">
      <c r="A559" s="11"/>
      <c r="B559" s="11"/>
      <c r="C559" s="11"/>
      <c r="D559" s="11"/>
      <c r="E559" s="11"/>
    </row>
    <row r="560">
      <c r="A560" s="11"/>
      <c r="B560" s="11"/>
      <c r="C560" s="11"/>
      <c r="D560" s="11"/>
      <c r="E560" s="11"/>
    </row>
    <row r="561">
      <c r="A561" s="11"/>
      <c r="B561" s="11"/>
      <c r="C561" s="11"/>
      <c r="D561" s="11"/>
      <c r="E561" s="11"/>
    </row>
    <row r="562">
      <c r="A562" s="11"/>
      <c r="B562" s="11"/>
      <c r="C562" s="11"/>
      <c r="D562" s="11"/>
      <c r="E562" s="11"/>
    </row>
    <row r="563">
      <c r="A563" s="11"/>
      <c r="B563" s="11"/>
      <c r="C563" s="11"/>
      <c r="D563" s="11"/>
      <c r="E563" s="11"/>
    </row>
    <row r="564">
      <c r="A564" s="11"/>
      <c r="B564" s="11"/>
      <c r="C564" s="11"/>
      <c r="D564" s="11"/>
      <c r="E564" s="11"/>
    </row>
    <row r="565">
      <c r="A565" s="11"/>
      <c r="B565" s="11"/>
      <c r="C565" s="11"/>
      <c r="D565" s="11"/>
      <c r="E565" s="11"/>
    </row>
    <row r="566">
      <c r="A566" s="11"/>
      <c r="B566" s="11"/>
      <c r="C566" s="11"/>
      <c r="D566" s="11"/>
      <c r="E566" s="11"/>
    </row>
    <row r="567">
      <c r="A567" s="11"/>
      <c r="B567" s="11"/>
      <c r="C567" s="11"/>
      <c r="D567" s="11"/>
      <c r="E567" s="11"/>
    </row>
    <row r="568">
      <c r="A568" s="11"/>
      <c r="B568" s="11"/>
      <c r="C568" s="11"/>
      <c r="D568" s="11"/>
      <c r="E568" s="11"/>
    </row>
    <row r="569">
      <c r="A569" s="11"/>
      <c r="B569" s="11"/>
      <c r="C569" s="11"/>
      <c r="D569" s="11"/>
      <c r="E569" s="11"/>
    </row>
    <row r="570">
      <c r="A570" s="11"/>
      <c r="B570" s="11"/>
      <c r="C570" s="11"/>
      <c r="D570" s="11"/>
      <c r="E570" s="11"/>
    </row>
    <row r="571">
      <c r="A571" s="11"/>
      <c r="B571" s="11"/>
      <c r="C571" s="11"/>
      <c r="D571" s="11"/>
      <c r="E571" s="11"/>
    </row>
    <row r="572">
      <c r="A572" s="11"/>
      <c r="B572" s="11"/>
      <c r="C572" s="11"/>
      <c r="D572" s="11"/>
      <c r="E572" s="11"/>
    </row>
    <row r="573">
      <c r="A573" s="11"/>
      <c r="B573" s="11"/>
      <c r="C573" s="11"/>
      <c r="D573" s="11"/>
      <c r="E573" s="11"/>
    </row>
    <row r="574">
      <c r="A574" s="11"/>
      <c r="B574" s="11"/>
      <c r="C574" s="11"/>
      <c r="D574" s="11"/>
      <c r="E574" s="11"/>
    </row>
    <row r="575">
      <c r="A575" s="11"/>
      <c r="B575" s="11"/>
      <c r="C575" s="11"/>
      <c r="D575" s="11"/>
      <c r="E575" s="11"/>
    </row>
    <row r="576">
      <c r="A576" s="11"/>
      <c r="B576" s="11"/>
      <c r="C576" s="11"/>
      <c r="D576" s="11"/>
      <c r="E576" s="11"/>
    </row>
    <row r="577">
      <c r="A577" s="11"/>
      <c r="B577" s="11"/>
      <c r="C577" s="11"/>
      <c r="D577" s="11"/>
      <c r="E577" s="11"/>
    </row>
    <row r="578">
      <c r="A578" s="11"/>
      <c r="B578" s="11"/>
      <c r="C578" s="11"/>
      <c r="D578" s="11"/>
      <c r="E578" s="11"/>
    </row>
    <row r="579">
      <c r="A579" s="11"/>
      <c r="B579" s="11"/>
      <c r="C579" s="11"/>
      <c r="D579" s="11"/>
      <c r="E579" s="11"/>
    </row>
    <row r="580">
      <c r="A580" s="11"/>
      <c r="B580" s="11"/>
      <c r="C580" s="11"/>
      <c r="D580" s="11"/>
      <c r="E580" s="11"/>
    </row>
    <row r="581">
      <c r="A581" s="11"/>
      <c r="B581" s="11"/>
      <c r="C581" s="11"/>
      <c r="D581" s="11"/>
      <c r="E581" s="11"/>
    </row>
    <row r="582">
      <c r="A582" s="11"/>
      <c r="B582" s="11"/>
      <c r="C582" s="11"/>
      <c r="D582" s="11"/>
      <c r="E582" s="11"/>
    </row>
    <row r="583">
      <c r="A583" s="11"/>
      <c r="B583" s="11"/>
      <c r="C583" s="11"/>
      <c r="D583" s="11"/>
      <c r="E583" s="11"/>
    </row>
    <row r="584">
      <c r="A584" s="11"/>
      <c r="B584" s="11"/>
      <c r="C584" s="11"/>
      <c r="D584" s="11"/>
      <c r="E584" s="11"/>
    </row>
    <row r="585">
      <c r="A585" s="11"/>
      <c r="B585" s="11"/>
      <c r="C585" s="11"/>
      <c r="D585" s="11"/>
      <c r="E585" s="11"/>
    </row>
    <row r="586">
      <c r="A586" s="11"/>
      <c r="B586" s="11"/>
      <c r="C586" s="11"/>
      <c r="D586" s="11"/>
      <c r="E586" s="11"/>
    </row>
    <row r="587">
      <c r="A587" s="11"/>
      <c r="B587" s="11"/>
      <c r="C587" s="11"/>
      <c r="D587" s="11"/>
      <c r="E587" s="11"/>
    </row>
    <row r="588">
      <c r="A588" s="11"/>
      <c r="B588" s="11"/>
      <c r="C588" s="11"/>
      <c r="D588" s="11"/>
      <c r="E588" s="11"/>
    </row>
    <row r="589">
      <c r="A589" s="11"/>
      <c r="B589" s="11"/>
      <c r="C589" s="11"/>
      <c r="D589" s="11"/>
      <c r="E589" s="11"/>
    </row>
    <row r="590">
      <c r="A590" s="11"/>
      <c r="B590" s="11"/>
      <c r="C590" s="11"/>
      <c r="D590" s="11"/>
      <c r="E590" s="11"/>
    </row>
    <row r="591">
      <c r="A591" s="11"/>
      <c r="B591" s="11"/>
      <c r="C591" s="11"/>
      <c r="D591" s="11"/>
      <c r="E591" s="11"/>
    </row>
    <row r="592">
      <c r="A592" s="11"/>
      <c r="B592" s="11"/>
      <c r="C592" s="11"/>
      <c r="D592" s="11"/>
      <c r="E592" s="11"/>
    </row>
    <row r="593">
      <c r="A593" s="11"/>
      <c r="B593" s="11"/>
      <c r="C593" s="11"/>
      <c r="D593" s="11"/>
      <c r="E593" s="11"/>
    </row>
    <row r="594">
      <c r="A594" s="11"/>
      <c r="B594" s="11"/>
      <c r="C594" s="11"/>
      <c r="D594" s="11"/>
      <c r="E594" s="11"/>
    </row>
    <row r="595">
      <c r="A595" s="11"/>
      <c r="B595" s="11"/>
      <c r="C595" s="11"/>
      <c r="D595" s="11"/>
      <c r="E595" s="11"/>
    </row>
    <row r="596">
      <c r="A596" s="11"/>
      <c r="B596" s="11"/>
      <c r="C596" s="11"/>
      <c r="D596" s="11"/>
      <c r="E596" s="11"/>
    </row>
    <row r="597">
      <c r="A597" s="11"/>
      <c r="B597" s="11"/>
      <c r="C597" s="11"/>
      <c r="D597" s="11"/>
      <c r="E597" s="11"/>
    </row>
    <row r="598">
      <c r="A598" s="11"/>
      <c r="B598" s="11"/>
      <c r="C598" s="11"/>
      <c r="D598" s="11"/>
      <c r="E598" s="11"/>
    </row>
    <row r="599">
      <c r="A599" s="11"/>
      <c r="B599" s="11"/>
      <c r="C599" s="11"/>
      <c r="D599" s="11"/>
      <c r="E599" s="11"/>
    </row>
    <row r="600">
      <c r="A600" s="11"/>
      <c r="B600" s="11"/>
      <c r="C600" s="11"/>
      <c r="D600" s="11"/>
      <c r="E600" s="11"/>
    </row>
    <row r="601">
      <c r="A601" s="11"/>
      <c r="B601" s="11"/>
      <c r="C601" s="11"/>
      <c r="D601" s="11"/>
      <c r="E601" s="11"/>
    </row>
    <row r="602">
      <c r="A602" s="11"/>
      <c r="B602" s="11"/>
      <c r="C602" s="11"/>
      <c r="D602" s="11"/>
      <c r="E602" s="11"/>
    </row>
    <row r="603">
      <c r="A603" s="11"/>
      <c r="B603" s="11"/>
      <c r="C603" s="11"/>
      <c r="D603" s="11"/>
      <c r="E603" s="11"/>
    </row>
    <row r="604">
      <c r="A604" s="11"/>
      <c r="B604" s="11"/>
      <c r="C604" s="11"/>
      <c r="D604" s="11"/>
      <c r="E604" s="11"/>
    </row>
    <row r="605">
      <c r="A605" s="11"/>
      <c r="B605" s="11"/>
      <c r="C605" s="11"/>
      <c r="D605" s="11"/>
      <c r="E605" s="11"/>
    </row>
    <row r="606">
      <c r="A606" s="11"/>
      <c r="B606" s="11"/>
      <c r="C606" s="11"/>
      <c r="D606" s="11"/>
      <c r="E606" s="11"/>
    </row>
    <row r="607">
      <c r="A607" s="11"/>
      <c r="B607" s="11"/>
      <c r="C607" s="11"/>
      <c r="D607" s="11"/>
      <c r="E607" s="11"/>
    </row>
    <row r="608">
      <c r="A608" s="11"/>
      <c r="B608" s="11"/>
      <c r="C608" s="11"/>
      <c r="D608" s="11"/>
      <c r="E608" s="11"/>
    </row>
    <row r="609">
      <c r="A609" s="11"/>
      <c r="B609" s="11"/>
      <c r="C609" s="11"/>
      <c r="D609" s="11"/>
      <c r="E609" s="11"/>
    </row>
    <row r="610">
      <c r="A610" s="11"/>
      <c r="B610" s="11"/>
      <c r="C610" s="11"/>
      <c r="D610" s="11"/>
      <c r="E610" s="11"/>
    </row>
    <row r="611">
      <c r="A611" s="11"/>
      <c r="B611" s="11"/>
      <c r="C611" s="11"/>
      <c r="D611" s="11"/>
      <c r="E611" s="11"/>
    </row>
    <row r="612">
      <c r="A612" s="11"/>
      <c r="B612" s="11"/>
      <c r="C612" s="11"/>
      <c r="D612" s="11"/>
      <c r="E612" s="11"/>
    </row>
    <row r="613">
      <c r="A613" s="11"/>
      <c r="B613" s="11"/>
      <c r="C613" s="11"/>
      <c r="D613" s="11"/>
      <c r="E613" s="11"/>
    </row>
    <row r="614">
      <c r="A614" s="11"/>
      <c r="B614" s="11"/>
      <c r="C614" s="11"/>
      <c r="D614" s="11"/>
      <c r="E614" s="11"/>
    </row>
    <row r="615">
      <c r="A615" s="11"/>
      <c r="B615" s="11"/>
      <c r="C615" s="11"/>
      <c r="D615" s="11"/>
      <c r="E615" s="11"/>
    </row>
    <row r="616">
      <c r="A616" s="11"/>
      <c r="B616" s="11"/>
      <c r="C616" s="11"/>
      <c r="D616" s="11"/>
      <c r="E616" s="11"/>
    </row>
    <row r="617">
      <c r="A617" s="11"/>
      <c r="B617" s="11"/>
      <c r="C617" s="11"/>
      <c r="D617" s="11"/>
      <c r="E617" s="11"/>
    </row>
    <row r="618">
      <c r="A618" s="11"/>
      <c r="B618" s="11"/>
      <c r="C618" s="11"/>
      <c r="D618" s="11"/>
      <c r="E618" s="11"/>
    </row>
    <row r="619">
      <c r="A619" s="11"/>
      <c r="B619" s="11"/>
      <c r="C619" s="11"/>
      <c r="D619" s="11"/>
      <c r="E619" s="11"/>
    </row>
    <row r="620">
      <c r="A620" s="11"/>
      <c r="B620" s="11"/>
      <c r="C620" s="11"/>
      <c r="D620" s="11"/>
      <c r="E620" s="11"/>
    </row>
    <row r="621">
      <c r="A621" s="11"/>
      <c r="B621" s="11"/>
      <c r="C621" s="11"/>
      <c r="D621" s="11"/>
      <c r="E621" s="11"/>
    </row>
    <row r="622">
      <c r="A622" s="11"/>
      <c r="B622" s="11"/>
      <c r="C622" s="11"/>
      <c r="D622" s="11"/>
      <c r="E622" s="11"/>
    </row>
    <row r="623">
      <c r="A623" s="11"/>
      <c r="B623" s="11"/>
      <c r="C623" s="11"/>
      <c r="D623" s="11"/>
      <c r="E623" s="11"/>
    </row>
    <row r="624">
      <c r="A624" s="11"/>
      <c r="B624" s="11"/>
      <c r="C624" s="11"/>
      <c r="D624" s="11"/>
      <c r="E624" s="11"/>
    </row>
    <row r="625">
      <c r="A625" s="11"/>
      <c r="B625" s="11"/>
      <c r="C625" s="11"/>
      <c r="D625" s="11"/>
      <c r="E625" s="11"/>
    </row>
    <row r="626">
      <c r="A626" s="11"/>
      <c r="B626" s="11"/>
      <c r="C626" s="11"/>
      <c r="D626" s="11"/>
      <c r="E626" s="11"/>
    </row>
    <row r="627">
      <c r="A627" s="11"/>
      <c r="B627" s="11"/>
      <c r="C627" s="11"/>
      <c r="D627" s="11"/>
      <c r="E627" s="11"/>
    </row>
    <row r="628">
      <c r="A628" s="11"/>
      <c r="B628" s="11"/>
      <c r="C628" s="11"/>
      <c r="D628" s="11"/>
      <c r="E628" s="11"/>
    </row>
    <row r="629">
      <c r="A629" s="11"/>
      <c r="B629" s="11"/>
      <c r="C629" s="11"/>
      <c r="D629" s="11"/>
      <c r="E629" s="11"/>
    </row>
    <row r="630">
      <c r="A630" s="11"/>
      <c r="B630" s="11"/>
      <c r="C630" s="11"/>
      <c r="D630" s="11"/>
      <c r="E630" s="11"/>
    </row>
    <row r="631">
      <c r="A631" s="11"/>
      <c r="B631" s="11"/>
      <c r="C631" s="11"/>
      <c r="D631" s="11"/>
      <c r="E631" s="11"/>
    </row>
    <row r="632">
      <c r="A632" s="11"/>
      <c r="B632" s="11"/>
      <c r="C632" s="11"/>
      <c r="D632" s="11"/>
      <c r="E632" s="11"/>
    </row>
    <row r="633">
      <c r="A633" s="11"/>
      <c r="B633" s="11"/>
      <c r="C633" s="11"/>
      <c r="D633" s="11"/>
      <c r="E633" s="11"/>
    </row>
    <row r="634">
      <c r="A634" s="11"/>
      <c r="B634" s="11"/>
      <c r="C634" s="11"/>
      <c r="D634" s="11"/>
      <c r="E634" s="11"/>
    </row>
    <row r="635">
      <c r="A635" s="11"/>
      <c r="B635" s="11"/>
      <c r="C635" s="11"/>
      <c r="D635" s="11"/>
      <c r="E635" s="11"/>
    </row>
    <row r="636">
      <c r="A636" s="11"/>
      <c r="B636" s="11"/>
      <c r="C636" s="11"/>
      <c r="D636" s="11"/>
      <c r="E636" s="11"/>
    </row>
    <row r="637">
      <c r="A637" s="11"/>
      <c r="B637" s="11"/>
      <c r="C637" s="11"/>
      <c r="D637" s="11"/>
      <c r="E637" s="11"/>
    </row>
    <row r="638">
      <c r="A638" s="11"/>
      <c r="B638" s="11"/>
      <c r="C638" s="11"/>
      <c r="D638" s="11"/>
      <c r="E638" s="11"/>
    </row>
    <row r="639">
      <c r="A639" s="11"/>
      <c r="B639" s="11"/>
      <c r="C639" s="11"/>
      <c r="D639" s="11"/>
      <c r="E639" s="11"/>
    </row>
    <row r="640">
      <c r="A640" s="11"/>
      <c r="B640" s="11"/>
      <c r="C640" s="11"/>
      <c r="D640" s="11"/>
      <c r="E640" s="11"/>
    </row>
    <row r="641">
      <c r="A641" s="11"/>
      <c r="B641" s="11"/>
      <c r="C641" s="11"/>
      <c r="D641" s="11"/>
      <c r="E641" s="11"/>
    </row>
    <row r="642">
      <c r="A642" s="11"/>
      <c r="B642" s="11"/>
      <c r="C642" s="11"/>
      <c r="D642" s="11"/>
      <c r="E642" s="11"/>
    </row>
    <row r="643">
      <c r="A643" s="11"/>
      <c r="B643" s="11"/>
      <c r="C643" s="11"/>
      <c r="D643" s="11"/>
      <c r="E643" s="11"/>
    </row>
    <row r="644">
      <c r="A644" s="11"/>
      <c r="B644" s="11"/>
      <c r="C644" s="11"/>
      <c r="D644" s="11"/>
      <c r="E644" s="11"/>
    </row>
    <row r="645">
      <c r="A645" s="11"/>
      <c r="B645" s="11"/>
      <c r="C645" s="11"/>
      <c r="D645" s="11"/>
      <c r="E645" s="11"/>
    </row>
    <row r="646">
      <c r="A646" s="11"/>
      <c r="B646" s="11"/>
      <c r="C646" s="11"/>
      <c r="D646" s="11"/>
      <c r="E646" s="11"/>
    </row>
    <row r="647">
      <c r="A647" s="11"/>
      <c r="B647" s="11"/>
      <c r="C647" s="11"/>
      <c r="D647" s="11"/>
      <c r="E647" s="11"/>
    </row>
    <row r="648">
      <c r="A648" s="11"/>
      <c r="B648" s="11"/>
      <c r="C648" s="11"/>
      <c r="D648" s="11"/>
      <c r="E648" s="11"/>
    </row>
    <row r="649">
      <c r="A649" s="11"/>
      <c r="B649" s="11"/>
      <c r="C649" s="11"/>
      <c r="D649" s="11"/>
      <c r="E649" s="11"/>
    </row>
    <row r="650">
      <c r="A650" s="11"/>
      <c r="B650" s="11"/>
      <c r="C650" s="11"/>
      <c r="D650" s="11"/>
      <c r="E650" s="11"/>
    </row>
    <row r="651">
      <c r="A651" s="11"/>
      <c r="B651" s="11"/>
      <c r="C651" s="11"/>
      <c r="D651" s="11"/>
      <c r="E651" s="11"/>
    </row>
    <row r="652">
      <c r="A652" s="11"/>
      <c r="B652" s="11"/>
      <c r="C652" s="11"/>
      <c r="D652" s="11"/>
      <c r="E652" s="11"/>
    </row>
    <row r="653">
      <c r="A653" s="11"/>
      <c r="B653" s="11"/>
      <c r="C653" s="11"/>
      <c r="D653" s="11"/>
      <c r="E653" s="11"/>
    </row>
    <row r="654">
      <c r="A654" s="11"/>
      <c r="B654" s="11"/>
      <c r="C654" s="11"/>
      <c r="D654" s="11"/>
      <c r="E654" s="11"/>
    </row>
    <row r="655">
      <c r="A655" s="11"/>
      <c r="B655" s="11"/>
      <c r="C655" s="11"/>
      <c r="D655" s="11"/>
      <c r="E655" s="11"/>
    </row>
    <row r="656">
      <c r="A656" s="11"/>
      <c r="B656" s="11"/>
      <c r="C656" s="11"/>
      <c r="D656" s="11"/>
      <c r="E656" s="11"/>
    </row>
    <row r="657">
      <c r="A657" s="11"/>
      <c r="B657" s="11"/>
      <c r="C657" s="11"/>
      <c r="D657" s="11"/>
      <c r="E657" s="11"/>
    </row>
    <row r="658">
      <c r="A658" s="11"/>
      <c r="B658" s="11"/>
      <c r="C658" s="11"/>
      <c r="D658" s="11"/>
      <c r="E658" s="11"/>
    </row>
    <row r="659">
      <c r="A659" s="11"/>
      <c r="B659" s="11"/>
      <c r="C659" s="11"/>
      <c r="D659" s="11"/>
      <c r="E659" s="11"/>
    </row>
    <row r="660">
      <c r="A660" s="11"/>
      <c r="B660" s="11"/>
      <c r="C660" s="11"/>
      <c r="D660" s="11"/>
      <c r="E660" s="11"/>
    </row>
    <row r="661">
      <c r="A661" s="11"/>
      <c r="B661" s="11"/>
      <c r="C661" s="11"/>
      <c r="D661" s="11"/>
      <c r="E661" s="11"/>
    </row>
    <row r="662">
      <c r="A662" s="11"/>
      <c r="B662" s="11"/>
      <c r="C662" s="11"/>
      <c r="D662" s="11"/>
      <c r="E662" s="11"/>
    </row>
    <row r="663">
      <c r="A663" s="11"/>
      <c r="B663" s="11"/>
      <c r="C663" s="11"/>
      <c r="D663" s="11"/>
      <c r="E663" s="11"/>
    </row>
    <row r="664">
      <c r="A664" s="11"/>
      <c r="B664" s="11"/>
      <c r="C664" s="11"/>
      <c r="D664" s="11"/>
      <c r="E664" s="11"/>
    </row>
    <row r="665">
      <c r="A665" s="11"/>
      <c r="B665" s="11"/>
      <c r="C665" s="11"/>
      <c r="D665" s="11"/>
      <c r="E665" s="11"/>
    </row>
    <row r="666">
      <c r="A666" s="11"/>
      <c r="B666" s="11"/>
      <c r="C666" s="11"/>
      <c r="D666" s="11"/>
      <c r="E666" s="11"/>
    </row>
    <row r="667">
      <c r="A667" s="11"/>
      <c r="B667" s="11"/>
      <c r="C667" s="11"/>
      <c r="D667" s="11"/>
      <c r="E667" s="11"/>
    </row>
    <row r="668">
      <c r="A668" s="11"/>
      <c r="B668" s="11"/>
      <c r="C668" s="11"/>
      <c r="D668" s="11"/>
      <c r="E668" s="11"/>
    </row>
    <row r="669">
      <c r="A669" s="11"/>
      <c r="B669" s="11"/>
      <c r="C669" s="11"/>
      <c r="D669" s="11"/>
      <c r="E669" s="11"/>
    </row>
    <row r="670">
      <c r="A670" s="11"/>
      <c r="B670" s="11"/>
      <c r="C670" s="11"/>
      <c r="D670" s="11"/>
      <c r="E670" s="11"/>
    </row>
    <row r="671">
      <c r="A671" s="11"/>
      <c r="B671" s="11"/>
      <c r="C671" s="11"/>
      <c r="D671" s="11"/>
      <c r="E671" s="11"/>
    </row>
    <row r="672">
      <c r="A672" s="11"/>
      <c r="B672" s="11"/>
      <c r="C672" s="11"/>
      <c r="D672" s="11"/>
      <c r="E672" s="11"/>
    </row>
    <row r="673">
      <c r="A673" s="11"/>
      <c r="B673" s="11"/>
      <c r="C673" s="11"/>
      <c r="D673" s="11"/>
      <c r="E673" s="11"/>
    </row>
    <row r="674">
      <c r="A674" s="11"/>
      <c r="B674" s="11"/>
      <c r="C674" s="11"/>
      <c r="D674" s="11"/>
      <c r="E674" s="11"/>
    </row>
    <row r="675">
      <c r="A675" s="11"/>
      <c r="B675" s="11"/>
      <c r="C675" s="11"/>
      <c r="D675" s="11"/>
      <c r="E675" s="11"/>
    </row>
    <row r="676">
      <c r="A676" s="11"/>
      <c r="B676" s="11"/>
      <c r="C676" s="11"/>
      <c r="D676" s="11"/>
      <c r="E676" s="11"/>
    </row>
    <row r="677">
      <c r="A677" s="11"/>
      <c r="B677" s="11"/>
      <c r="C677" s="11"/>
      <c r="D677" s="11"/>
      <c r="E677" s="11"/>
    </row>
    <row r="678">
      <c r="A678" s="11"/>
      <c r="B678" s="11"/>
      <c r="C678" s="11"/>
      <c r="D678" s="11"/>
      <c r="E678" s="11"/>
    </row>
    <row r="679">
      <c r="A679" s="11"/>
      <c r="B679" s="11"/>
      <c r="C679" s="11"/>
      <c r="D679" s="11"/>
      <c r="E679" s="11"/>
    </row>
    <row r="680">
      <c r="A680" s="11"/>
      <c r="B680" s="11"/>
      <c r="C680" s="11"/>
      <c r="D680" s="11"/>
      <c r="E680" s="11"/>
    </row>
    <row r="681">
      <c r="A681" s="11"/>
      <c r="B681" s="11"/>
      <c r="C681" s="11"/>
      <c r="D681" s="11"/>
      <c r="E681" s="11"/>
    </row>
    <row r="682">
      <c r="A682" s="11"/>
      <c r="B682" s="11"/>
      <c r="C682" s="11"/>
      <c r="D682" s="11"/>
      <c r="E682" s="11"/>
    </row>
    <row r="683">
      <c r="A683" s="11"/>
      <c r="B683" s="11"/>
      <c r="C683" s="11"/>
      <c r="D683" s="11"/>
      <c r="E683" s="11"/>
    </row>
    <row r="684">
      <c r="A684" s="11"/>
      <c r="B684" s="11"/>
      <c r="C684" s="11"/>
      <c r="D684" s="11"/>
      <c r="E684" s="11"/>
    </row>
    <row r="685">
      <c r="A685" s="11"/>
      <c r="B685" s="11"/>
      <c r="C685" s="11"/>
      <c r="D685" s="11"/>
      <c r="E685" s="11"/>
    </row>
    <row r="686">
      <c r="A686" s="11"/>
      <c r="B686" s="11"/>
      <c r="C686" s="11"/>
      <c r="D686" s="11"/>
      <c r="E686" s="11"/>
    </row>
    <row r="687">
      <c r="A687" s="11"/>
      <c r="B687" s="11"/>
      <c r="C687" s="11"/>
      <c r="D687" s="11"/>
      <c r="E687" s="11"/>
    </row>
    <row r="688">
      <c r="A688" s="11"/>
      <c r="B688" s="11"/>
      <c r="C688" s="11"/>
      <c r="D688" s="11"/>
      <c r="E688" s="11"/>
    </row>
    <row r="689">
      <c r="A689" s="11"/>
      <c r="B689" s="11"/>
      <c r="C689" s="11"/>
      <c r="D689" s="11"/>
      <c r="E689" s="11"/>
    </row>
    <row r="690">
      <c r="A690" s="11"/>
      <c r="B690" s="11"/>
      <c r="C690" s="11"/>
      <c r="D690" s="11"/>
      <c r="E690" s="11"/>
    </row>
    <row r="691">
      <c r="A691" s="11"/>
      <c r="B691" s="11"/>
      <c r="C691" s="11"/>
      <c r="D691" s="11"/>
      <c r="E691" s="11"/>
    </row>
    <row r="692">
      <c r="A692" s="11"/>
      <c r="B692" s="11"/>
      <c r="C692" s="11"/>
      <c r="D692" s="11"/>
      <c r="E692" s="11"/>
    </row>
    <row r="693">
      <c r="A693" s="11"/>
      <c r="B693" s="11"/>
      <c r="C693" s="11"/>
      <c r="D693" s="11"/>
      <c r="E693" s="11"/>
    </row>
    <row r="694">
      <c r="A694" s="11"/>
      <c r="B694" s="11"/>
      <c r="C694" s="11"/>
      <c r="D694" s="11"/>
      <c r="E694" s="11"/>
    </row>
    <row r="695">
      <c r="A695" s="11"/>
      <c r="B695" s="11"/>
      <c r="C695" s="11"/>
      <c r="D695" s="11"/>
      <c r="E695" s="11"/>
    </row>
    <row r="696">
      <c r="A696" s="11"/>
      <c r="B696" s="11"/>
      <c r="C696" s="11"/>
      <c r="D696" s="11"/>
      <c r="E696" s="11"/>
    </row>
    <row r="697">
      <c r="A697" s="11"/>
      <c r="B697" s="11"/>
      <c r="C697" s="11"/>
      <c r="D697" s="11"/>
      <c r="E697" s="11"/>
    </row>
    <row r="698">
      <c r="A698" s="11"/>
      <c r="B698" s="11"/>
      <c r="C698" s="11"/>
      <c r="D698" s="11"/>
      <c r="E698" s="11"/>
    </row>
    <row r="699">
      <c r="A699" s="11"/>
      <c r="B699" s="11"/>
      <c r="C699" s="11"/>
      <c r="D699" s="11"/>
      <c r="E699" s="11"/>
    </row>
    <row r="700">
      <c r="A700" s="11"/>
      <c r="B700" s="11"/>
      <c r="C700" s="11"/>
      <c r="D700" s="11"/>
      <c r="E700" s="11"/>
    </row>
    <row r="701">
      <c r="A701" s="11"/>
      <c r="B701" s="11"/>
      <c r="C701" s="11"/>
      <c r="D701" s="11"/>
      <c r="E701" s="11"/>
    </row>
    <row r="702">
      <c r="A702" s="11"/>
      <c r="B702" s="11"/>
      <c r="C702" s="11"/>
      <c r="D702" s="11"/>
      <c r="E702" s="11"/>
    </row>
    <row r="703">
      <c r="A703" s="11"/>
      <c r="B703" s="11"/>
      <c r="C703" s="11"/>
      <c r="D703" s="11"/>
      <c r="E703" s="11"/>
    </row>
    <row r="704">
      <c r="A704" s="11"/>
      <c r="B704" s="11"/>
      <c r="C704" s="11"/>
      <c r="D704" s="11"/>
      <c r="E704" s="11"/>
    </row>
    <row r="705">
      <c r="A705" s="11"/>
      <c r="B705" s="11"/>
      <c r="C705" s="11"/>
      <c r="D705" s="11"/>
      <c r="E705" s="11"/>
    </row>
    <row r="706">
      <c r="A706" s="11"/>
      <c r="B706" s="11"/>
      <c r="C706" s="11"/>
      <c r="D706" s="11"/>
      <c r="E706" s="11"/>
    </row>
    <row r="707">
      <c r="A707" s="11"/>
      <c r="B707" s="11"/>
      <c r="C707" s="11"/>
      <c r="D707" s="11"/>
      <c r="E707" s="11"/>
    </row>
    <row r="708">
      <c r="A708" s="11"/>
      <c r="B708" s="11"/>
      <c r="C708" s="11"/>
      <c r="D708" s="11"/>
      <c r="E708" s="11"/>
    </row>
    <row r="709">
      <c r="A709" s="11"/>
      <c r="B709" s="11"/>
      <c r="C709" s="11"/>
      <c r="D709" s="11"/>
      <c r="E709" s="11"/>
    </row>
    <row r="710">
      <c r="A710" s="11"/>
      <c r="B710" s="11"/>
      <c r="C710" s="11"/>
      <c r="D710" s="11"/>
      <c r="E710" s="11"/>
    </row>
    <row r="711">
      <c r="A711" s="11"/>
      <c r="B711" s="11"/>
      <c r="C711" s="11"/>
      <c r="D711" s="11"/>
      <c r="E711" s="11"/>
    </row>
    <row r="712">
      <c r="A712" s="11"/>
      <c r="B712" s="11"/>
      <c r="C712" s="11"/>
      <c r="D712" s="11"/>
      <c r="E712" s="11"/>
    </row>
    <row r="713">
      <c r="A713" s="11"/>
      <c r="B713" s="11"/>
      <c r="C713" s="11"/>
      <c r="D713" s="11"/>
      <c r="E713" s="11"/>
    </row>
    <row r="714">
      <c r="A714" s="11"/>
      <c r="B714" s="11"/>
      <c r="C714" s="11"/>
      <c r="D714" s="11"/>
      <c r="E714" s="11"/>
    </row>
    <row r="715">
      <c r="A715" s="11"/>
      <c r="B715" s="11"/>
      <c r="C715" s="11"/>
      <c r="D715" s="11"/>
      <c r="E715" s="11"/>
    </row>
    <row r="716">
      <c r="A716" s="11"/>
      <c r="B716" s="11"/>
      <c r="C716" s="11"/>
      <c r="D716" s="11"/>
      <c r="E716" s="11"/>
    </row>
    <row r="717">
      <c r="A717" s="11"/>
      <c r="B717" s="11"/>
      <c r="C717" s="11"/>
      <c r="D717" s="11"/>
      <c r="E717" s="11"/>
    </row>
    <row r="718">
      <c r="A718" s="11"/>
      <c r="B718" s="11"/>
      <c r="C718" s="11"/>
      <c r="D718" s="11"/>
      <c r="E718" s="11"/>
    </row>
    <row r="719">
      <c r="A719" s="11"/>
      <c r="B719" s="11"/>
      <c r="C719" s="11"/>
      <c r="D719" s="11"/>
      <c r="E719" s="11"/>
    </row>
    <row r="720">
      <c r="A720" s="11"/>
      <c r="B720" s="11"/>
      <c r="C720" s="11"/>
      <c r="D720" s="11"/>
      <c r="E720" s="11"/>
    </row>
    <row r="721">
      <c r="A721" s="11"/>
      <c r="B721" s="11"/>
      <c r="C721" s="11"/>
      <c r="D721" s="11"/>
      <c r="E721" s="11"/>
    </row>
    <row r="722">
      <c r="A722" s="11"/>
      <c r="B722" s="11"/>
      <c r="C722" s="11"/>
      <c r="D722" s="11"/>
      <c r="E722" s="11"/>
    </row>
    <row r="723">
      <c r="A723" s="11"/>
      <c r="B723" s="11"/>
      <c r="C723" s="11"/>
      <c r="D723" s="11"/>
      <c r="E723" s="11"/>
    </row>
    <row r="724">
      <c r="A724" s="11"/>
      <c r="B724" s="11"/>
      <c r="C724" s="11"/>
      <c r="D724" s="11"/>
      <c r="E724" s="11"/>
    </row>
    <row r="725">
      <c r="A725" s="11"/>
      <c r="B725" s="11"/>
      <c r="C725" s="11"/>
      <c r="D725" s="11"/>
      <c r="E725" s="11"/>
    </row>
    <row r="726">
      <c r="A726" s="11"/>
      <c r="B726" s="11"/>
      <c r="C726" s="11"/>
      <c r="D726" s="11"/>
      <c r="E726" s="11"/>
    </row>
    <row r="727">
      <c r="A727" s="11"/>
      <c r="B727" s="11"/>
      <c r="C727" s="11"/>
      <c r="D727" s="11"/>
      <c r="E727" s="11"/>
    </row>
    <row r="728">
      <c r="A728" s="11"/>
      <c r="B728" s="11"/>
      <c r="C728" s="11"/>
      <c r="D728" s="11"/>
      <c r="E728" s="11"/>
    </row>
    <row r="729">
      <c r="A729" s="11"/>
      <c r="B729" s="11"/>
      <c r="C729" s="11"/>
      <c r="D729" s="11"/>
      <c r="E729" s="11"/>
    </row>
    <row r="730">
      <c r="A730" s="11"/>
      <c r="B730" s="11"/>
      <c r="C730" s="11"/>
      <c r="D730" s="11"/>
      <c r="E730" s="11"/>
    </row>
    <row r="731">
      <c r="A731" s="11"/>
      <c r="B731" s="11"/>
      <c r="C731" s="11"/>
      <c r="D731" s="11"/>
      <c r="E731" s="11"/>
    </row>
    <row r="732">
      <c r="A732" s="11"/>
      <c r="B732" s="11"/>
      <c r="C732" s="11"/>
      <c r="D732" s="11"/>
      <c r="E732" s="11"/>
    </row>
    <row r="733">
      <c r="A733" s="11"/>
      <c r="B733" s="11"/>
      <c r="C733" s="11"/>
      <c r="D733" s="11"/>
      <c r="E733" s="11"/>
    </row>
    <row r="734">
      <c r="A734" s="11"/>
      <c r="B734" s="11"/>
      <c r="C734" s="11"/>
      <c r="D734" s="11"/>
      <c r="E734" s="11"/>
    </row>
    <row r="735">
      <c r="A735" s="11"/>
      <c r="B735" s="11"/>
      <c r="C735" s="11"/>
      <c r="D735" s="11"/>
      <c r="E735" s="11"/>
    </row>
    <row r="736">
      <c r="A736" s="11"/>
      <c r="B736" s="11"/>
      <c r="C736" s="11"/>
      <c r="D736" s="11"/>
      <c r="E736" s="11"/>
    </row>
    <row r="737">
      <c r="A737" s="11"/>
      <c r="B737" s="11"/>
      <c r="C737" s="11"/>
      <c r="D737" s="11"/>
      <c r="E737" s="11"/>
    </row>
    <row r="738">
      <c r="A738" s="11"/>
      <c r="B738" s="11"/>
      <c r="C738" s="11"/>
      <c r="D738" s="11"/>
      <c r="E738" s="11"/>
    </row>
    <row r="739">
      <c r="A739" s="11"/>
      <c r="B739" s="11"/>
      <c r="C739" s="11"/>
      <c r="D739" s="11"/>
      <c r="E739" s="11"/>
    </row>
    <row r="740">
      <c r="A740" s="11"/>
      <c r="B740" s="11"/>
      <c r="C740" s="11"/>
      <c r="D740" s="11"/>
      <c r="E740" s="11"/>
    </row>
    <row r="741">
      <c r="A741" s="11"/>
      <c r="B741" s="11"/>
      <c r="C741" s="11"/>
      <c r="D741" s="11"/>
      <c r="E741" s="11"/>
    </row>
    <row r="742">
      <c r="A742" s="11"/>
      <c r="B742" s="11"/>
      <c r="C742" s="11"/>
      <c r="D742" s="11"/>
      <c r="E742" s="11"/>
    </row>
    <row r="743">
      <c r="A743" s="11"/>
      <c r="B743" s="11"/>
      <c r="C743" s="11"/>
      <c r="D743" s="11"/>
      <c r="E743" s="11"/>
    </row>
    <row r="744">
      <c r="A744" s="11"/>
      <c r="B744" s="11"/>
      <c r="C744" s="11"/>
      <c r="D744" s="11"/>
      <c r="E744" s="11"/>
    </row>
    <row r="745">
      <c r="A745" s="11"/>
      <c r="B745" s="11"/>
      <c r="C745" s="11"/>
      <c r="D745" s="11"/>
      <c r="E745" s="11"/>
    </row>
    <row r="746">
      <c r="A746" s="11"/>
      <c r="B746" s="11"/>
      <c r="C746" s="11"/>
      <c r="D746" s="11"/>
      <c r="E746" s="11"/>
    </row>
    <row r="747">
      <c r="A747" s="11"/>
      <c r="B747" s="11"/>
      <c r="C747" s="11"/>
      <c r="D747" s="11"/>
      <c r="E747" s="11"/>
    </row>
    <row r="748">
      <c r="A748" s="11"/>
      <c r="B748" s="11"/>
      <c r="C748" s="11"/>
      <c r="D748" s="11"/>
      <c r="E748" s="11"/>
    </row>
    <row r="749">
      <c r="A749" s="11"/>
      <c r="B749" s="11"/>
      <c r="C749" s="11"/>
      <c r="D749" s="11"/>
      <c r="E749" s="11"/>
    </row>
    <row r="750">
      <c r="A750" s="11"/>
      <c r="B750" s="11"/>
      <c r="C750" s="11"/>
      <c r="D750" s="11"/>
      <c r="E750" s="11"/>
    </row>
    <row r="751">
      <c r="A751" s="11"/>
      <c r="B751" s="11"/>
      <c r="C751" s="11"/>
      <c r="D751" s="11"/>
      <c r="E751" s="11"/>
    </row>
    <row r="752">
      <c r="A752" s="11"/>
      <c r="B752" s="11"/>
      <c r="C752" s="11"/>
      <c r="D752" s="11"/>
      <c r="E752" s="11"/>
    </row>
    <row r="753">
      <c r="A753" s="11"/>
      <c r="B753" s="11"/>
      <c r="C753" s="11"/>
      <c r="D753" s="11"/>
      <c r="E753" s="11"/>
    </row>
    <row r="754">
      <c r="A754" s="11"/>
      <c r="B754" s="11"/>
      <c r="C754" s="11"/>
      <c r="D754" s="11"/>
      <c r="E754" s="11"/>
    </row>
    <row r="755">
      <c r="A755" s="11"/>
      <c r="B755" s="11"/>
      <c r="C755" s="11"/>
      <c r="D755" s="11"/>
      <c r="E755" s="11"/>
    </row>
    <row r="756">
      <c r="A756" s="11"/>
      <c r="B756" s="11"/>
      <c r="C756" s="11"/>
      <c r="D756" s="11"/>
      <c r="E756" s="11"/>
    </row>
    <row r="757">
      <c r="A757" s="11"/>
      <c r="B757" s="11"/>
      <c r="C757" s="11"/>
      <c r="D757" s="11"/>
      <c r="E757" s="11"/>
    </row>
    <row r="758">
      <c r="A758" s="11"/>
      <c r="B758" s="11"/>
      <c r="C758" s="11"/>
      <c r="D758" s="11"/>
      <c r="E758" s="11"/>
    </row>
    <row r="759">
      <c r="A759" s="11"/>
      <c r="B759" s="11"/>
      <c r="C759" s="11"/>
      <c r="D759" s="11"/>
      <c r="E759" s="11"/>
    </row>
    <row r="760">
      <c r="A760" s="11"/>
      <c r="B760" s="11"/>
      <c r="C760" s="11"/>
      <c r="D760" s="11"/>
      <c r="E760" s="11"/>
    </row>
    <row r="761">
      <c r="A761" s="11"/>
      <c r="B761" s="11"/>
      <c r="C761" s="11"/>
      <c r="D761" s="11"/>
      <c r="E761" s="11"/>
    </row>
    <row r="762">
      <c r="A762" s="11"/>
      <c r="B762" s="11"/>
      <c r="C762" s="11"/>
      <c r="D762" s="11"/>
      <c r="E762" s="11"/>
    </row>
    <row r="763">
      <c r="A763" s="11"/>
      <c r="B763" s="11"/>
      <c r="C763" s="11"/>
      <c r="D763" s="11"/>
      <c r="E763" s="11"/>
    </row>
    <row r="764">
      <c r="A764" s="11"/>
      <c r="B764" s="11"/>
      <c r="C764" s="11"/>
      <c r="D764" s="11"/>
      <c r="E764" s="11"/>
    </row>
    <row r="765">
      <c r="A765" s="11"/>
      <c r="B765" s="11"/>
      <c r="C765" s="11"/>
      <c r="D765" s="11"/>
      <c r="E765" s="11"/>
    </row>
    <row r="766">
      <c r="A766" s="11"/>
      <c r="B766" s="11"/>
      <c r="C766" s="11"/>
      <c r="D766" s="11"/>
      <c r="E766" s="11"/>
    </row>
    <row r="767">
      <c r="A767" s="11"/>
      <c r="B767" s="11"/>
      <c r="C767" s="11"/>
      <c r="D767" s="11"/>
      <c r="E767" s="11"/>
    </row>
    <row r="768">
      <c r="A768" s="11"/>
      <c r="B768" s="11"/>
      <c r="C768" s="11"/>
      <c r="D768" s="11"/>
      <c r="E768" s="11"/>
    </row>
    <row r="769">
      <c r="A769" s="11"/>
      <c r="B769" s="11"/>
      <c r="C769" s="11"/>
      <c r="D769" s="11"/>
      <c r="E769" s="11"/>
    </row>
    <row r="770">
      <c r="A770" s="11"/>
      <c r="B770" s="11"/>
      <c r="C770" s="11"/>
      <c r="D770" s="11"/>
      <c r="E770" s="11"/>
    </row>
    <row r="771">
      <c r="A771" s="11"/>
      <c r="B771" s="11"/>
      <c r="C771" s="11"/>
      <c r="D771" s="11"/>
      <c r="E771" s="11"/>
    </row>
    <row r="772">
      <c r="A772" s="11"/>
      <c r="B772" s="11"/>
      <c r="C772" s="11"/>
      <c r="D772" s="11"/>
      <c r="E772" s="11"/>
    </row>
    <row r="773">
      <c r="A773" s="11"/>
      <c r="B773" s="11"/>
      <c r="C773" s="11"/>
      <c r="D773" s="11"/>
      <c r="E773" s="11"/>
    </row>
    <row r="774">
      <c r="A774" s="11"/>
      <c r="B774" s="11"/>
      <c r="C774" s="11"/>
      <c r="D774" s="11"/>
      <c r="E774" s="11"/>
    </row>
    <row r="775">
      <c r="A775" s="11"/>
      <c r="B775" s="11"/>
      <c r="C775" s="11"/>
      <c r="D775" s="11"/>
      <c r="E775" s="11"/>
    </row>
    <row r="776">
      <c r="A776" s="11"/>
      <c r="B776" s="11"/>
      <c r="C776" s="11"/>
      <c r="D776" s="11"/>
      <c r="E776" s="11"/>
    </row>
    <row r="777">
      <c r="A777" s="11"/>
      <c r="B777" s="11"/>
      <c r="C777" s="11"/>
      <c r="D777" s="11"/>
      <c r="E777" s="11"/>
    </row>
    <row r="778">
      <c r="A778" s="11"/>
      <c r="B778" s="11"/>
      <c r="C778" s="11"/>
      <c r="D778" s="11"/>
      <c r="E778" s="11"/>
    </row>
    <row r="779">
      <c r="A779" s="11"/>
      <c r="B779" s="11"/>
      <c r="C779" s="11"/>
      <c r="D779" s="11"/>
      <c r="E779" s="11"/>
    </row>
    <row r="780">
      <c r="A780" s="11"/>
      <c r="B780" s="11"/>
      <c r="C780" s="11"/>
      <c r="D780" s="11"/>
      <c r="E780" s="11"/>
    </row>
    <row r="781">
      <c r="A781" s="11"/>
      <c r="B781" s="11"/>
      <c r="C781" s="11"/>
      <c r="D781" s="11"/>
      <c r="E781" s="11"/>
    </row>
    <row r="782">
      <c r="A782" s="11"/>
      <c r="B782" s="11"/>
      <c r="C782" s="11"/>
      <c r="D782" s="11"/>
      <c r="E782" s="11"/>
    </row>
    <row r="783">
      <c r="A783" s="11"/>
      <c r="B783" s="11"/>
      <c r="C783" s="11"/>
      <c r="D783" s="11"/>
      <c r="E783" s="11"/>
    </row>
    <row r="784">
      <c r="A784" s="11"/>
      <c r="B784" s="11"/>
      <c r="C784" s="11"/>
      <c r="D784" s="11"/>
      <c r="E784" s="11"/>
    </row>
    <row r="785">
      <c r="A785" s="11"/>
      <c r="B785" s="11"/>
      <c r="C785" s="11"/>
      <c r="D785" s="11"/>
      <c r="E785" s="11"/>
    </row>
    <row r="786">
      <c r="A786" s="11"/>
      <c r="B786" s="11"/>
      <c r="C786" s="11"/>
      <c r="D786" s="11"/>
      <c r="E786" s="11"/>
    </row>
    <row r="787">
      <c r="A787" s="11"/>
      <c r="B787" s="11"/>
      <c r="C787" s="11"/>
      <c r="D787" s="11"/>
      <c r="E787" s="11"/>
    </row>
    <row r="788">
      <c r="A788" s="11"/>
      <c r="B788" s="11"/>
      <c r="C788" s="11"/>
      <c r="D788" s="11"/>
      <c r="E788" s="11"/>
    </row>
    <row r="789">
      <c r="A789" s="11"/>
      <c r="B789" s="11"/>
      <c r="C789" s="11"/>
      <c r="D789" s="11"/>
      <c r="E789" s="11"/>
    </row>
    <row r="790">
      <c r="A790" s="11"/>
      <c r="B790" s="11"/>
      <c r="C790" s="11"/>
      <c r="D790" s="11"/>
      <c r="E790" s="11"/>
    </row>
    <row r="791">
      <c r="A791" s="11"/>
      <c r="B791" s="11"/>
      <c r="C791" s="11"/>
      <c r="D791" s="11"/>
      <c r="E791" s="11"/>
    </row>
    <row r="792">
      <c r="A792" s="11"/>
      <c r="B792" s="11"/>
      <c r="C792" s="11"/>
      <c r="D792" s="11"/>
      <c r="E792" s="11"/>
    </row>
    <row r="793">
      <c r="A793" s="11"/>
      <c r="B793" s="11"/>
      <c r="C793" s="11"/>
      <c r="D793" s="11"/>
      <c r="E793" s="11"/>
    </row>
    <row r="794">
      <c r="A794" s="11"/>
      <c r="B794" s="11"/>
      <c r="C794" s="11"/>
      <c r="D794" s="11"/>
      <c r="E794" s="11"/>
    </row>
    <row r="795">
      <c r="A795" s="11"/>
      <c r="B795" s="11"/>
      <c r="C795" s="11"/>
      <c r="D795" s="11"/>
      <c r="E795" s="11"/>
    </row>
    <row r="796">
      <c r="A796" s="11"/>
      <c r="B796" s="11"/>
      <c r="C796" s="11"/>
      <c r="D796" s="11"/>
      <c r="E796" s="11"/>
    </row>
    <row r="797">
      <c r="A797" s="11"/>
      <c r="B797" s="11"/>
      <c r="C797" s="11"/>
      <c r="D797" s="11"/>
      <c r="E797" s="11"/>
    </row>
    <row r="798">
      <c r="A798" s="11"/>
      <c r="B798" s="11"/>
      <c r="C798" s="11"/>
      <c r="D798" s="11"/>
      <c r="E798" s="11"/>
    </row>
    <row r="799">
      <c r="A799" s="11"/>
      <c r="B799" s="11"/>
      <c r="C799" s="11"/>
      <c r="D799" s="11"/>
      <c r="E799" s="11"/>
    </row>
    <row r="800">
      <c r="A800" s="11"/>
      <c r="B800" s="11"/>
      <c r="C800" s="11"/>
      <c r="D800" s="11"/>
      <c r="E800" s="11"/>
    </row>
    <row r="801">
      <c r="A801" s="11"/>
      <c r="B801" s="11"/>
      <c r="C801" s="11"/>
      <c r="D801" s="11"/>
      <c r="E801" s="11"/>
    </row>
    <row r="802">
      <c r="A802" s="11"/>
      <c r="B802" s="11"/>
      <c r="C802" s="11"/>
      <c r="D802" s="11"/>
      <c r="E802" s="11"/>
    </row>
    <row r="803">
      <c r="A803" s="11"/>
      <c r="B803" s="11"/>
      <c r="C803" s="11"/>
      <c r="D803" s="11"/>
      <c r="E803" s="11"/>
    </row>
    <row r="804">
      <c r="A804" s="11"/>
      <c r="B804" s="11"/>
      <c r="C804" s="11"/>
      <c r="D804" s="11"/>
      <c r="E804" s="11"/>
    </row>
    <row r="805">
      <c r="A805" s="11"/>
      <c r="B805" s="11"/>
      <c r="C805" s="11"/>
      <c r="D805" s="11"/>
      <c r="E805" s="11"/>
    </row>
    <row r="806">
      <c r="A806" s="11"/>
      <c r="B806" s="11"/>
      <c r="C806" s="11"/>
      <c r="D806" s="11"/>
      <c r="E806" s="11"/>
    </row>
    <row r="807">
      <c r="A807" s="11"/>
      <c r="B807" s="11"/>
      <c r="C807" s="11"/>
      <c r="D807" s="11"/>
      <c r="E807" s="11"/>
    </row>
    <row r="808">
      <c r="A808" s="11"/>
      <c r="B808" s="11"/>
      <c r="C808" s="11"/>
      <c r="D808" s="11"/>
      <c r="E808" s="11"/>
    </row>
    <row r="809">
      <c r="A809" s="11"/>
      <c r="B809" s="11"/>
      <c r="C809" s="11"/>
      <c r="D809" s="11"/>
      <c r="E809" s="11"/>
    </row>
    <row r="810">
      <c r="A810" s="11"/>
      <c r="B810" s="11"/>
      <c r="C810" s="11"/>
      <c r="D810" s="11"/>
      <c r="E810" s="11"/>
    </row>
    <row r="811">
      <c r="A811" s="11"/>
      <c r="B811" s="11"/>
      <c r="C811" s="11"/>
      <c r="D811" s="11"/>
      <c r="E811" s="11"/>
    </row>
    <row r="812">
      <c r="A812" s="11"/>
      <c r="B812" s="11"/>
      <c r="C812" s="11"/>
      <c r="D812" s="11"/>
      <c r="E812" s="11"/>
    </row>
    <row r="813">
      <c r="A813" s="11"/>
      <c r="B813" s="11"/>
      <c r="C813" s="11"/>
      <c r="D813" s="11"/>
      <c r="E813" s="11"/>
    </row>
    <row r="814">
      <c r="A814" s="11"/>
      <c r="B814" s="11"/>
      <c r="C814" s="11"/>
      <c r="D814" s="11"/>
      <c r="E814" s="11"/>
    </row>
    <row r="815">
      <c r="A815" s="11"/>
      <c r="B815" s="11"/>
      <c r="C815" s="11"/>
      <c r="D815" s="11"/>
      <c r="E815" s="11"/>
    </row>
    <row r="816">
      <c r="A816" s="11"/>
      <c r="B816" s="11"/>
      <c r="C816" s="11"/>
      <c r="D816" s="11"/>
      <c r="E816" s="11"/>
    </row>
    <row r="817">
      <c r="A817" s="11"/>
      <c r="B817" s="11"/>
      <c r="C817" s="11"/>
      <c r="D817" s="11"/>
      <c r="E817" s="11"/>
    </row>
    <row r="818">
      <c r="A818" s="11"/>
      <c r="B818" s="11"/>
      <c r="C818" s="11"/>
      <c r="D818" s="11"/>
      <c r="E818" s="11"/>
    </row>
    <row r="819">
      <c r="A819" s="11"/>
      <c r="B819" s="11"/>
      <c r="C819" s="11"/>
      <c r="D819" s="11"/>
      <c r="E819" s="11"/>
    </row>
    <row r="820">
      <c r="A820" s="11"/>
      <c r="B820" s="11"/>
      <c r="C820" s="11"/>
      <c r="D820" s="11"/>
      <c r="E820" s="11"/>
    </row>
    <row r="821">
      <c r="A821" s="11"/>
      <c r="B821" s="11"/>
      <c r="C821" s="11"/>
      <c r="D821" s="11"/>
      <c r="E821" s="11"/>
    </row>
    <row r="822">
      <c r="A822" s="11"/>
      <c r="B822" s="11"/>
      <c r="C822" s="11"/>
      <c r="D822" s="11"/>
      <c r="E822" s="11"/>
    </row>
    <row r="823">
      <c r="A823" s="11"/>
      <c r="B823" s="11"/>
      <c r="C823" s="11"/>
      <c r="D823" s="11"/>
      <c r="E823" s="11"/>
    </row>
    <row r="824">
      <c r="A824" s="11"/>
      <c r="B824" s="11"/>
      <c r="C824" s="11"/>
      <c r="D824" s="11"/>
      <c r="E824" s="11"/>
    </row>
    <row r="825">
      <c r="A825" s="11"/>
      <c r="B825" s="11"/>
      <c r="C825" s="11"/>
      <c r="D825" s="11"/>
      <c r="E825" s="11"/>
    </row>
    <row r="826">
      <c r="A826" s="11"/>
      <c r="B826" s="11"/>
      <c r="C826" s="11"/>
      <c r="D826" s="11"/>
      <c r="E826" s="11"/>
    </row>
    <row r="827">
      <c r="A827" s="11"/>
      <c r="B827" s="11"/>
      <c r="C827" s="11"/>
      <c r="D827" s="11"/>
      <c r="E827" s="11"/>
    </row>
    <row r="828">
      <c r="A828" s="11"/>
      <c r="B828" s="11"/>
      <c r="C828" s="11"/>
      <c r="D828" s="11"/>
      <c r="E828" s="11"/>
    </row>
    <row r="829">
      <c r="A829" s="11"/>
      <c r="B829" s="11"/>
      <c r="C829" s="11"/>
      <c r="D829" s="11"/>
      <c r="E829" s="11"/>
    </row>
    <row r="830">
      <c r="A830" s="11"/>
      <c r="B830" s="11"/>
      <c r="C830" s="11"/>
      <c r="D830" s="11"/>
      <c r="E830" s="11"/>
    </row>
    <row r="831">
      <c r="A831" s="11"/>
      <c r="B831" s="11"/>
      <c r="C831" s="11"/>
      <c r="D831" s="11"/>
      <c r="E831" s="11"/>
    </row>
    <row r="832">
      <c r="A832" s="11"/>
      <c r="B832" s="11"/>
      <c r="C832" s="11"/>
      <c r="D832" s="11"/>
      <c r="E832" s="11"/>
    </row>
    <row r="833">
      <c r="A833" s="11"/>
      <c r="B833" s="11"/>
      <c r="C833" s="11"/>
      <c r="D833" s="11"/>
      <c r="E833" s="11"/>
    </row>
    <row r="834">
      <c r="A834" s="11"/>
      <c r="B834" s="11"/>
      <c r="C834" s="11"/>
      <c r="D834" s="11"/>
      <c r="E834" s="11"/>
    </row>
    <row r="835">
      <c r="A835" s="11"/>
      <c r="B835" s="11"/>
      <c r="C835" s="11"/>
      <c r="D835" s="11"/>
      <c r="E835" s="11"/>
    </row>
    <row r="836">
      <c r="A836" s="11"/>
      <c r="B836" s="11"/>
      <c r="C836" s="11"/>
      <c r="D836" s="11"/>
      <c r="E836" s="11"/>
    </row>
    <row r="837">
      <c r="A837" s="11"/>
      <c r="B837" s="11"/>
      <c r="C837" s="11"/>
      <c r="D837" s="11"/>
      <c r="E837" s="11"/>
    </row>
    <row r="838">
      <c r="A838" s="11"/>
      <c r="B838" s="11"/>
      <c r="C838" s="11"/>
      <c r="D838" s="11"/>
      <c r="E838" s="11"/>
    </row>
    <row r="839">
      <c r="A839" s="11"/>
      <c r="B839" s="11"/>
      <c r="C839" s="11"/>
      <c r="D839" s="11"/>
      <c r="E839" s="11"/>
    </row>
    <row r="840">
      <c r="A840" s="11"/>
      <c r="B840" s="11"/>
      <c r="C840" s="11"/>
      <c r="D840" s="11"/>
      <c r="E840" s="11"/>
    </row>
    <row r="841">
      <c r="A841" s="11"/>
      <c r="B841" s="11"/>
      <c r="C841" s="11"/>
      <c r="D841" s="11"/>
      <c r="E841" s="11"/>
    </row>
    <row r="842">
      <c r="A842" s="11"/>
      <c r="B842" s="11"/>
      <c r="C842" s="11"/>
      <c r="D842" s="11"/>
      <c r="E842" s="11"/>
    </row>
    <row r="843">
      <c r="A843" s="11"/>
      <c r="B843" s="11"/>
      <c r="C843" s="11"/>
      <c r="D843" s="11"/>
      <c r="E843" s="11"/>
    </row>
    <row r="844">
      <c r="A844" s="11"/>
      <c r="B844" s="11"/>
      <c r="C844" s="11"/>
      <c r="D844" s="11"/>
      <c r="E844" s="11"/>
    </row>
    <row r="845">
      <c r="A845" s="11"/>
      <c r="B845" s="11"/>
      <c r="C845" s="11"/>
      <c r="D845" s="11"/>
      <c r="E845" s="11"/>
    </row>
    <row r="846">
      <c r="A846" s="11"/>
      <c r="B846" s="11"/>
      <c r="C846" s="11"/>
      <c r="D846" s="11"/>
      <c r="E846" s="11"/>
    </row>
    <row r="847">
      <c r="A847" s="11"/>
      <c r="B847" s="11"/>
      <c r="C847" s="11"/>
      <c r="D847" s="11"/>
      <c r="E847" s="11"/>
    </row>
    <row r="848">
      <c r="A848" s="11"/>
      <c r="B848" s="11"/>
      <c r="C848" s="11"/>
      <c r="D848" s="11"/>
      <c r="E848" s="11"/>
    </row>
    <row r="849">
      <c r="A849" s="11"/>
      <c r="B849" s="11"/>
      <c r="C849" s="11"/>
      <c r="D849" s="11"/>
      <c r="E849" s="11"/>
    </row>
    <row r="850">
      <c r="A850" s="11"/>
      <c r="B850" s="11"/>
      <c r="C850" s="11"/>
      <c r="D850" s="11"/>
      <c r="E850" s="11"/>
    </row>
    <row r="851">
      <c r="A851" s="11"/>
      <c r="B851" s="11"/>
      <c r="C851" s="11"/>
      <c r="D851" s="11"/>
      <c r="E851" s="11"/>
    </row>
    <row r="852">
      <c r="A852" s="11"/>
      <c r="B852" s="11"/>
      <c r="C852" s="11"/>
      <c r="D852" s="11"/>
      <c r="E852" s="11"/>
    </row>
    <row r="853">
      <c r="A853" s="11"/>
      <c r="B853" s="11"/>
      <c r="C853" s="11"/>
      <c r="D853" s="11"/>
      <c r="E853" s="11"/>
    </row>
    <row r="854">
      <c r="A854" s="11"/>
      <c r="B854" s="11"/>
      <c r="C854" s="11"/>
      <c r="D854" s="11"/>
      <c r="E854" s="11"/>
    </row>
    <row r="855">
      <c r="A855" s="11"/>
      <c r="B855" s="11"/>
      <c r="C855" s="11"/>
      <c r="D855" s="11"/>
      <c r="E855" s="11"/>
    </row>
    <row r="856">
      <c r="A856" s="11"/>
      <c r="B856" s="11"/>
      <c r="C856" s="11"/>
      <c r="D856" s="11"/>
      <c r="E856" s="11"/>
    </row>
    <row r="857">
      <c r="A857" s="11"/>
      <c r="B857" s="11"/>
      <c r="C857" s="11"/>
      <c r="D857" s="11"/>
      <c r="E857" s="11"/>
    </row>
    <row r="858">
      <c r="A858" s="11"/>
      <c r="B858" s="11"/>
      <c r="C858" s="11"/>
      <c r="D858" s="11"/>
      <c r="E858" s="11"/>
    </row>
    <row r="859">
      <c r="A859" s="11"/>
      <c r="B859" s="11"/>
      <c r="C859" s="11"/>
      <c r="D859" s="11"/>
      <c r="E859" s="11"/>
    </row>
    <row r="860">
      <c r="A860" s="11"/>
      <c r="B860" s="11"/>
      <c r="C860" s="11"/>
      <c r="D860" s="11"/>
      <c r="E860" s="11"/>
    </row>
    <row r="861">
      <c r="A861" s="11"/>
      <c r="B861" s="11"/>
      <c r="C861" s="11"/>
      <c r="D861" s="11"/>
      <c r="E861" s="11"/>
    </row>
    <row r="862">
      <c r="A862" s="11"/>
      <c r="B862" s="11"/>
      <c r="C862" s="11"/>
      <c r="D862" s="11"/>
      <c r="E862" s="11"/>
    </row>
    <row r="863">
      <c r="A863" s="11"/>
      <c r="B863" s="11"/>
      <c r="C863" s="11"/>
      <c r="D863" s="11"/>
      <c r="E863" s="11"/>
    </row>
    <row r="864">
      <c r="A864" s="11"/>
      <c r="B864" s="11"/>
      <c r="C864" s="11"/>
      <c r="D864" s="11"/>
      <c r="E864" s="11"/>
    </row>
    <row r="865">
      <c r="A865" s="11"/>
      <c r="B865" s="11"/>
      <c r="C865" s="11"/>
      <c r="D865" s="11"/>
      <c r="E865" s="11"/>
    </row>
    <row r="866">
      <c r="A866" s="11"/>
      <c r="B866" s="11"/>
      <c r="C866" s="11"/>
      <c r="D866" s="11"/>
      <c r="E866" s="11"/>
    </row>
    <row r="867">
      <c r="A867" s="11"/>
      <c r="B867" s="11"/>
      <c r="C867" s="11"/>
      <c r="D867" s="11"/>
      <c r="E867" s="11"/>
    </row>
    <row r="868">
      <c r="A868" s="11"/>
      <c r="B868" s="11"/>
      <c r="C868" s="11"/>
      <c r="D868" s="11"/>
      <c r="E868" s="11"/>
    </row>
    <row r="869">
      <c r="A869" s="11"/>
      <c r="B869" s="11"/>
      <c r="C869" s="11"/>
      <c r="D869" s="11"/>
      <c r="E869" s="11"/>
    </row>
    <row r="870">
      <c r="A870" s="11"/>
      <c r="B870" s="11"/>
      <c r="C870" s="11"/>
      <c r="D870" s="11"/>
      <c r="E870" s="11"/>
    </row>
    <row r="871">
      <c r="A871" s="11"/>
      <c r="B871" s="11"/>
      <c r="C871" s="11"/>
      <c r="D871" s="11"/>
      <c r="E871" s="11"/>
    </row>
    <row r="872">
      <c r="A872" s="11"/>
      <c r="B872" s="11"/>
      <c r="C872" s="11"/>
      <c r="D872" s="11"/>
      <c r="E872" s="11"/>
    </row>
    <row r="873">
      <c r="A873" s="11"/>
      <c r="B873" s="11"/>
      <c r="C873" s="11"/>
      <c r="D873" s="11"/>
      <c r="E873" s="11"/>
    </row>
    <row r="874">
      <c r="A874" s="11"/>
      <c r="B874" s="11"/>
      <c r="C874" s="11"/>
      <c r="D874" s="11"/>
      <c r="E874" s="11"/>
    </row>
    <row r="875">
      <c r="A875" s="11"/>
      <c r="B875" s="11"/>
      <c r="C875" s="11"/>
      <c r="D875" s="11"/>
      <c r="E875" s="11"/>
    </row>
    <row r="876">
      <c r="A876" s="11"/>
      <c r="B876" s="11"/>
      <c r="C876" s="11"/>
      <c r="D876" s="11"/>
      <c r="E876" s="11"/>
    </row>
    <row r="877">
      <c r="A877" s="11"/>
      <c r="B877" s="11"/>
      <c r="C877" s="11"/>
      <c r="D877" s="11"/>
      <c r="E877" s="11"/>
    </row>
    <row r="878">
      <c r="A878" s="11"/>
      <c r="B878" s="11"/>
      <c r="C878" s="11"/>
      <c r="D878" s="11"/>
      <c r="E878" s="11"/>
    </row>
    <row r="879">
      <c r="A879" s="11"/>
      <c r="B879" s="11"/>
      <c r="C879" s="11"/>
      <c r="D879" s="11"/>
      <c r="E879" s="11"/>
    </row>
    <row r="880">
      <c r="A880" s="11"/>
      <c r="B880" s="11"/>
      <c r="C880" s="11"/>
      <c r="D880" s="11"/>
      <c r="E880" s="11"/>
    </row>
    <row r="881">
      <c r="A881" s="11"/>
      <c r="B881" s="11"/>
      <c r="C881" s="11"/>
      <c r="D881" s="11"/>
      <c r="E881" s="11"/>
    </row>
    <row r="882">
      <c r="A882" s="11"/>
      <c r="B882" s="11"/>
      <c r="C882" s="11"/>
      <c r="D882" s="11"/>
      <c r="E882" s="11"/>
    </row>
    <row r="883">
      <c r="A883" s="11"/>
      <c r="B883" s="11"/>
      <c r="C883" s="11"/>
      <c r="D883" s="11"/>
      <c r="E883" s="11"/>
    </row>
    <row r="884">
      <c r="A884" s="11"/>
      <c r="B884" s="11"/>
      <c r="C884" s="11"/>
      <c r="D884" s="11"/>
      <c r="E884" s="11"/>
    </row>
    <row r="885">
      <c r="A885" s="11"/>
      <c r="B885" s="11"/>
      <c r="C885" s="11"/>
      <c r="D885" s="11"/>
      <c r="E885" s="11"/>
    </row>
    <row r="886">
      <c r="A886" s="11"/>
      <c r="B886" s="11"/>
      <c r="C886" s="11"/>
      <c r="D886" s="11"/>
      <c r="E886" s="11"/>
    </row>
    <row r="887">
      <c r="A887" s="11"/>
      <c r="B887" s="11"/>
      <c r="C887" s="11"/>
      <c r="D887" s="11"/>
      <c r="E887" s="11"/>
    </row>
    <row r="888">
      <c r="A888" s="11"/>
      <c r="B888" s="11"/>
      <c r="C888" s="11"/>
      <c r="D888" s="11"/>
      <c r="E888" s="11"/>
    </row>
    <row r="889">
      <c r="A889" s="11"/>
      <c r="B889" s="11"/>
      <c r="C889" s="11"/>
      <c r="D889" s="11"/>
      <c r="E889" s="11"/>
    </row>
    <row r="890">
      <c r="A890" s="11"/>
      <c r="B890" s="11"/>
      <c r="C890" s="11"/>
      <c r="D890" s="11"/>
      <c r="E890" s="11"/>
    </row>
    <row r="891">
      <c r="A891" s="11"/>
      <c r="B891" s="11"/>
      <c r="C891" s="11"/>
      <c r="D891" s="11"/>
      <c r="E891" s="11"/>
    </row>
    <row r="892">
      <c r="A892" s="11"/>
      <c r="B892" s="11"/>
      <c r="C892" s="11"/>
      <c r="D892" s="11"/>
      <c r="E892" s="11"/>
    </row>
    <row r="893">
      <c r="A893" s="11"/>
      <c r="B893" s="11"/>
      <c r="C893" s="11"/>
      <c r="D893" s="11"/>
      <c r="E893" s="11"/>
    </row>
    <row r="894">
      <c r="A894" s="11"/>
      <c r="B894" s="11"/>
      <c r="C894" s="11"/>
      <c r="D894" s="11"/>
      <c r="E894" s="11"/>
    </row>
    <row r="895">
      <c r="A895" s="11"/>
      <c r="B895" s="11"/>
      <c r="C895" s="11"/>
      <c r="D895" s="11"/>
      <c r="E895" s="11"/>
    </row>
    <row r="896">
      <c r="A896" s="11"/>
      <c r="B896" s="11"/>
      <c r="C896" s="11"/>
      <c r="D896" s="11"/>
      <c r="E896" s="11"/>
    </row>
    <row r="897">
      <c r="A897" s="11"/>
      <c r="B897" s="11"/>
      <c r="C897" s="11"/>
      <c r="D897" s="11"/>
      <c r="E897" s="11"/>
    </row>
    <row r="898">
      <c r="A898" s="11"/>
      <c r="B898" s="11"/>
      <c r="C898" s="11"/>
      <c r="D898" s="11"/>
      <c r="E898" s="11"/>
    </row>
    <row r="899">
      <c r="A899" s="11"/>
      <c r="B899" s="11"/>
      <c r="C899" s="11"/>
      <c r="D899" s="11"/>
      <c r="E899" s="11"/>
    </row>
    <row r="900">
      <c r="A900" s="11"/>
      <c r="B900" s="11"/>
      <c r="C900" s="11"/>
      <c r="D900" s="11"/>
      <c r="E900" s="11"/>
    </row>
    <row r="901">
      <c r="A901" s="11"/>
      <c r="B901" s="11"/>
      <c r="C901" s="11"/>
      <c r="D901" s="11"/>
      <c r="E901" s="11"/>
    </row>
    <row r="902">
      <c r="A902" s="11"/>
      <c r="B902" s="11"/>
      <c r="C902" s="11"/>
      <c r="D902" s="11"/>
      <c r="E902" s="11"/>
    </row>
    <row r="903">
      <c r="A903" s="11"/>
      <c r="B903" s="11"/>
      <c r="C903" s="11"/>
      <c r="D903" s="11"/>
      <c r="E903" s="11"/>
    </row>
    <row r="904">
      <c r="A904" s="11"/>
      <c r="B904" s="11"/>
      <c r="C904" s="11"/>
      <c r="D904" s="11"/>
      <c r="E904" s="11"/>
    </row>
    <row r="905">
      <c r="A905" s="11"/>
      <c r="B905" s="11"/>
      <c r="C905" s="11"/>
      <c r="D905" s="11"/>
      <c r="E905" s="11"/>
    </row>
    <row r="906">
      <c r="A906" s="11"/>
      <c r="B906" s="11"/>
      <c r="C906" s="11"/>
      <c r="D906" s="11"/>
      <c r="E906" s="11"/>
    </row>
    <row r="907">
      <c r="A907" s="11"/>
      <c r="B907" s="11"/>
      <c r="C907" s="11"/>
      <c r="D907" s="11"/>
      <c r="E907" s="11"/>
    </row>
    <row r="908">
      <c r="A908" s="11"/>
      <c r="B908" s="11"/>
      <c r="C908" s="11"/>
      <c r="D908" s="11"/>
      <c r="E908" s="11"/>
    </row>
    <row r="909">
      <c r="A909" s="11"/>
      <c r="B909" s="11"/>
      <c r="C909" s="11"/>
      <c r="D909" s="11"/>
      <c r="E909" s="11"/>
    </row>
    <row r="910">
      <c r="A910" s="11"/>
      <c r="B910" s="11"/>
      <c r="C910" s="11"/>
      <c r="D910" s="11"/>
      <c r="E910" s="11"/>
    </row>
    <row r="911">
      <c r="A911" s="11"/>
      <c r="B911" s="11"/>
      <c r="C911" s="11"/>
      <c r="D911" s="11"/>
      <c r="E911" s="11"/>
    </row>
    <row r="912">
      <c r="A912" s="11"/>
      <c r="B912" s="11"/>
      <c r="C912" s="11"/>
      <c r="D912" s="11"/>
      <c r="E912" s="11"/>
    </row>
    <row r="913">
      <c r="A913" s="11"/>
      <c r="B913" s="11"/>
      <c r="C913" s="11"/>
      <c r="D913" s="11"/>
      <c r="E913" s="11"/>
    </row>
    <row r="914">
      <c r="A914" s="11"/>
      <c r="B914" s="11"/>
      <c r="C914" s="11"/>
      <c r="D914" s="11"/>
      <c r="E914" s="11"/>
    </row>
    <row r="915">
      <c r="A915" s="11"/>
      <c r="B915" s="11"/>
      <c r="C915" s="11"/>
      <c r="D915" s="11"/>
      <c r="E915" s="11"/>
    </row>
    <row r="916">
      <c r="A916" s="11"/>
      <c r="B916" s="11"/>
      <c r="C916" s="11"/>
      <c r="D916" s="11"/>
      <c r="E916" s="11"/>
    </row>
    <row r="917">
      <c r="A917" s="11"/>
      <c r="B917" s="11"/>
      <c r="C917" s="11"/>
      <c r="D917" s="11"/>
      <c r="E917" s="11"/>
    </row>
    <row r="918">
      <c r="A918" s="11"/>
      <c r="B918" s="11"/>
      <c r="C918" s="11"/>
      <c r="D918" s="11"/>
      <c r="E918" s="11"/>
    </row>
    <row r="919">
      <c r="A919" s="11"/>
      <c r="B919" s="11"/>
      <c r="C919" s="11"/>
      <c r="D919" s="11"/>
      <c r="E919" s="11"/>
    </row>
    <row r="920">
      <c r="A920" s="11"/>
      <c r="B920" s="11"/>
      <c r="C920" s="11"/>
      <c r="D920" s="11"/>
      <c r="E920" s="11"/>
    </row>
    <row r="921">
      <c r="A921" s="11"/>
      <c r="B921" s="11"/>
      <c r="C921" s="11"/>
      <c r="D921" s="11"/>
      <c r="E921" s="11"/>
    </row>
    <row r="922">
      <c r="A922" s="11"/>
      <c r="B922" s="11"/>
      <c r="C922" s="11"/>
      <c r="D922" s="11"/>
      <c r="E922" s="11"/>
    </row>
    <row r="923">
      <c r="A923" s="11"/>
      <c r="B923" s="11"/>
      <c r="C923" s="11"/>
      <c r="D923" s="11"/>
      <c r="E923" s="11"/>
    </row>
    <row r="924">
      <c r="A924" s="11"/>
      <c r="B924" s="11"/>
      <c r="C924" s="11"/>
      <c r="D924" s="11"/>
      <c r="E924" s="11"/>
    </row>
    <row r="925">
      <c r="A925" s="11"/>
      <c r="B925" s="11"/>
      <c r="C925" s="11"/>
      <c r="D925" s="11"/>
      <c r="E925" s="11"/>
    </row>
    <row r="926">
      <c r="A926" s="11"/>
      <c r="B926" s="11"/>
      <c r="C926" s="11"/>
      <c r="D926" s="11"/>
      <c r="E926" s="11"/>
    </row>
    <row r="927">
      <c r="A927" s="11"/>
      <c r="B927" s="11"/>
      <c r="C927" s="11"/>
      <c r="D927" s="11"/>
      <c r="E927" s="11"/>
    </row>
    <row r="928">
      <c r="A928" s="11"/>
      <c r="B928" s="11"/>
      <c r="C928" s="11"/>
      <c r="D928" s="11"/>
      <c r="E928" s="11"/>
    </row>
    <row r="929">
      <c r="A929" s="11"/>
      <c r="B929" s="11"/>
      <c r="C929" s="11"/>
      <c r="D929" s="11"/>
      <c r="E929" s="11"/>
    </row>
    <row r="930">
      <c r="A930" s="11"/>
      <c r="B930" s="11"/>
      <c r="C930" s="11"/>
      <c r="D930" s="11"/>
      <c r="E930" s="11"/>
    </row>
    <row r="931">
      <c r="A931" s="11"/>
      <c r="B931" s="11"/>
      <c r="C931" s="11"/>
      <c r="D931" s="11"/>
      <c r="E931" s="11"/>
    </row>
    <row r="932">
      <c r="A932" s="11"/>
      <c r="B932" s="11"/>
      <c r="C932" s="11"/>
      <c r="D932" s="11"/>
      <c r="E932" s="11"/>
    </row>
    <row r="933">
      <c r="A933" s="11"/>
      <c r="B933" s="11"/>
      <c r="C933" s="11"/>
      <c r="D933" s="11"/>
      <c r="E933" s="11"/>
    </row>
    <row r="934">
      <c r="A934" s="11"/>
      <c r="B934" s="11"/>
      <c r="C934" s="11"/>
      <c r="D934" s="11"/>
      <c r="E934" s="11"/>
    </row>
    <row r="935">
      <c r="A935" s="11"/>
      <c r="B935" s="11"/>
      <c r="C935" s="11"/>
      <c r="D935" s="11"/>
      <c r="E935" s="11"/>
    </row>
    <row r="936">
      <c r="A936" s="11"/>
      <c r="B936" s="11"/>
      <c r="C936" s="11"/>
      <c r="D936" s="11"/>
      <c r="E936" s="11"/>
    </row>
    <row r="937">
      <c r="A937" s="11"/>
      <c r="B937" s="11"/>
      <c r="C937" s="11"/>
      <c r="D937" s="11"/>
      <c r="E937" s="11"/>
    </row>
    <row r="938">
      <c r="A938" s="11"/>
      <c r="B938" s="11"/>
      <c r="C938" s="11"/>
      <c r="D938" s="11"/>
      <c r="E938" s="11"/>
    </row>
    <row r="939">
      <c r="A939" s="11"/>
      <c r="B939" s="11"/>
      <c r="C939" s="11"/>
      <c r="D939" s="11"/>
      <c r="E939" s="11"/>
    </row>
    <row r="940">
      <c r="A940" s="11"/>
      <c r="B940" s="11"/>
      <c r="C940" s="11"/>
      <c r="D940" s="11"/>
      <c r="E940" s="11"/>
    </row>
    <row r="941">
      <c r="A941" s="11"/>
      <c r="B941" s="11"/>
      <c r="C941" s="11"/>
      <c r="D941" s="11"/>
      <c r="E941" s="11"/>
    </row>
    <row r="942">
      <c r="A942" s="11"/>
      <c r="B942" s="11"/>
      <c r="C942" s="11"/>
      <c r="D942" s="11"/>
      <c r="E942" s="11"/>
    </row>
    <row r="943">
      <c r="A943" s="11"/>
      <c r="B943" s="11"/>
      <c r="C943" s="11"/>
      <c r="D943" s="11"/>
      <c r="E943" s="11"/>
    </row>
    <row r="944">
      <c r="A944" s="11"/>
      <c r="B944" s="11"/>
      <c r="C944" s="11"/>
      <c r="D944" s="11"/>
      <c r="E944" s="11"/>
    </row>
    <row r="945">
      <c r="A945" s="11"/>
      <c r="B945" s="11"/>
      <c r="C945" s="11"/>
      <c r="D945" s="11"/>
      <c r="E945" s="11"/>
    </row>
    <row r="946">
      <c r="A946" s="11"/>
      <c r="B946" s="11"/>
      <c r="C946" s="11"/>
      <c r="D946" s="11"/>
      <c r="E946" s="11"/>
    </row>
    <row r="947">
      <c r="A947" s="11"/>
      <c r="B947" s="11"/>
      <c r="C947" s="11"/>
      <c r="D947" s="11"/>
      <c r="E947" s="11"/>
    </row>
    <row r="948">
      <c r="A948" s="11"/>
      <c r="B948" s="11"/>
      <c r="C948" s="11"/>
      <c r="D948" s="11"/>
      <c r="E948" s="11"/>
    </row>
    <row r="949">
      <c r="A949" s="11"/>
      <c r="B949" s="11"/>
      <c r="C949" s="11"/>
      <c r="D949" s="11"/>
      <c r="E949" s="11"/>
    </row>
    <row r="950">
      <c r="A950" s="11"/>
      <c r="B950" s="11"/>
      <c r="C950" s="11"/>
      <c r="D950" s="11"/>
      <c r="E950" s="11"/>
    </row>
    <row r="951">
      <c r="A951" s="11"/>
      <c r="B951" s="11"/>
      <c r="C951" s="11"/>
      <c r="D951" s="11"/>
      <c r="E951" s="11"/>
    </row>
    <row r="952">
      <c r="A952" s="11"/>
      <c r="B952" s="11"/>
      <c r="C952" s="11"/>
      <c r="D952" s="11"/>
      <c r="E952" s="11"/>
    </row>
    <row r="953">
      <c r="A953" s="11"/>
      <c r="B953" s="11"/>
      <c r="C953" s="11"/>
      <c r="D953" s="11"/>
      <c r="E953" s="11"/>
    </row>
    <row r="954">
      <c r="A954" s="11"/>
      <c r="B954" s="11"/>
      <c r="C954" s="11"/>
      <c r="D954" s="11"/>
      <c r="E954" s="11"/>
    </row>
    <row r="955">
      <c r="A955" s="11"/>
      <c r="B955" s="11"/>
      <c r="C955" s="11"/>
      <c r="D955" s="11"/>
      <c r="E955" s="11"/>
    </row>
    <row r="956">
      <c r="A956" s="11"/>
      <c r="B956" s="11"/>
      <c r="C956" s="11"/>
      <c r="D956" s="11"/>
      <c r="E956" s="11"/>
    </row>
    <row r="957">
      <c r="A957" s="11"/>
      <c r="B957" s="11"/>
      <c r="C957" s="11"/>
      <c r="D957" s="11"/>
      <c r="E957" s="11"/>
    </row>
    <row r="958">
      <c r="A958" s="11"/>
      <c r="B958" s="11"/>
      <c r="C958" s="11"/>
      <c r="D958" s="11"/>
      <c r="E958" s="11"/>
    </row>
    <row r="959">
      <c r="A959" s="11"/>
      <c r="B959" s="11"/>
      <c r="C959" s="11"/>
      <c r="D959" s="11"/>
      <c r="E959" s="11"/>
    </row>
    <row r="960">
      <c r="A960" s="11"/>
      <c r="B960" s="11"/>
      <c r="C960" s="11"/>
      <c r="D960" s="11"/>
      <c r="E960" s="11"/>
    </row>
    <row r="961">
      <c r="A961" s="11"/>
      <c r="B961" s="11"/>
      <c r="C961" s="11"/>
      <c r="D961" s="11"/>
      <c r="E961" s="11"/>
    </row>
    <row r="962">
      <c r="A962" s="11"/>
      <c r="B962" s="11"/>
      <c r="C962" s="11"/>
      <c r="D962" s="11"/>
      <c r="E962" s="11"/>
    </row>
    <row r="963">
      <c r="A963" s="11"/>
      <c r="B963" s="11"/>
      <c r="C963" s="11"/>
      <c r="D963" s="11"/>
      <c r="E963" s="11"/>
    </row>
    <row r="964">
      <c r="A964" s="11"/>
      <c r="B964" s="11"/>
      <c r="C964" s="11"/>
      <c r="D964" s="11"/>
      <c r="E964" s="11"/>
    </row>
    <row r="965">
      <c r="A965" s="11"/>
      <c r="B965" s="11"/>
      <c r="C965" s="11"/>
      <c r="D965" s="11"/>
      <c r="E965" s="11"/>
    </row>
    <row r="966">
      <c r="A966" s="11"/>
      <c r="B966" s="11"/>
      <c r="C966" s="11"/>
      <c r="D966" s="11"/>
      <c r="E966" s="11"/>
    </row>
    <row r="967">
      <c r="A967" s="11"/>
      <c r="B967" s="11"/>
      <c r="C967" s="11"/>
      <c r="D967" s="11"/>
      <c r="E967" s="11"/>
    </row>
    <row r="968">
      <c r="A968" s="11"/>
      <c r="B968" s="11"/>
      <c r="C968" s="11"/>
      <c r="D968" s="11"/>
      <c r="E968" s="11"/>
    </row>
    <row r="969">
      <c r="A969" s="11"/>
      <c r="B969" s="11"/>
      <c r="C969" s="11"/>
      <c r="D969" s="11"/>
      <c r="E969" s="11"/>
    </row>
    <row r="970">
      <c r="A970" s="11"/>
      <c r="B970" s="11"/>
      <c r="C970" s="11"/>
      <c r="D970" s="11"/>
      <c r="E970" s="11"/>
    </row>
    <row r="971">
      <c r="A971" s="11"/>
      <c r="B971" s="11"/>
      <c r="C971" s="11"/>
      <c r="D971" s="11"/>
      <c r="E971" s="11"/>
    </row>
    <row r="972">
      <c r="A972" s="11"/>
      <c r="B972" s="11"/>
      <c r="C972" s="11"/>
      <c r="D972" s="11"/>
      <c r="E972" s="11"/>
    </row>
    <row r="973">
      <c r="A973" s="11"/>
      <c r="B973" s="11"/>
      <c r="C973" s="11"/>
      <c r="D973" s="11"/>
      <c r="E973" s="11"/>
    </row>
    <row r="974">
      <c r="A974" s="11"/>
      <c r="B974" s="11"/>
      <c r="C974" s="11"/>
      <c r="D974" s="11"/>
      <c r="E974" s="11"/>
    </row>
    <row r="975">
      <c r="A975" s="11"/>
      <c r="B975" s="11"/>
      <c r="C975" s="11"/>
      <c r="D975" s="11"/>
      <c r="E975" s="11"/>
    </row>
    <row r="976">
      <c r="A976" s="11"/>
      <c r="B976" s="11"/>
      <c r="C976" s="11"/>
      <c r="D976" s="11"/>
      <c r="E976" s="11"/>
    </row>
    <row r="977">
      <c r="A977" s="11"/>
      <c r="B977" s="11"/>
      <c r="C977" s="11"/>
      <c r="D977" s="11"/>
      <c r="E977" s="11"/>
    </row>
    <row r="978">
      <c r="A978" s="11"/>
      <c r="B978" s="11"/>
      <c r="C978" s="11"/>
      <c r="D978" s="11"/>
      <c r="E978" s="11"/>
    </row>
    <row r="979">
      <c r="A979" s="11"/>
      <c r="B979" s="11"/>
      <c r="C979" s="11"/>
      <c r="D979" s="11"/>
      <c r="E979" s="11"/>
    </row>
    <row r="980">
      <c r="A980" s="11"/>
      <c r="B980" s="11"/>
      <c r="C980" s="11"/>
      <c r="D980" s="11"/>
      <c r="E980" s="11"/>
    </row>
    <row r="981">
      <c r="A981" s="11"/>
      <c r="B981" s="11"/>
      <c r="C981" s="11"/>
      <c r="D981" s="11"/>
      <c r="E981" s="11"/>
    </row>
    <row r="982">
      <c r="A982" s="11"/>
      <c r="B982" s="11"/>
      <c r="C982" s="11"/>
      <c r="D982" s="11"/>
      <c r="E982" s="11"/>
    </row>
    <row r="983">
      <c r="A983" s="11"/>
      <c r="B983" s="11"/>
      <c r="C983" s="11"/>
      <c r="D983" s="11"/>
      <c r="E983" s="11"/>
    </row>
    <row r="984">
      <c r="A984" s="11"/>
      <c r="B984" s="11"/>
      <c r="C984" s="11"/>
      <c r="D984" s="11"/>
      <c r="E984" s="11"/>
    </row>
    <row r="985">
      <c r="A985" s="11"/>
      <c r="B985" s="11"/>
      <c r="C985" s="11"/>
      <c r="D985" s="11"/>
      <c r="E985" s="11"/>
    </row>
    <row r="986">
      <c r="A986" s="11"/>
      <c r="B986" s="11"/>
      <c r="C986" s="11"/>
      <c r="D986" s="11"/>
      <c r="E986" s="11"/>
    </row>
    <row r="987">
      <c r="A987" s="11"/>
      <c r="B987" s="11"/>
      <c r="C987" s="11"/>
      <c r="D987" s="11"/>
      <c r="E987" s="11"/>
    </row>
    <row r="988">
      <c r="A988" s="11"/>
      <c r="B988" s="11"/>
      <c r="C988" s="11"/>
      <c r="D988" s="11"/>
      <c r="E988" s="11"/>
    </row>
    <row r="989">
      <c r="A989" s="11"/>
      <c r="B989" s="11"/>
      <c r="C989" s="11"/>
      <c r="D989" s="11"/>
      <c r="E989" s="11"/>
    </row>
    <row r="990">
      <c r="A990" s="11"/>
      <c r="B990" s="11"/>
      <c r="C990" s="11"/>
      <c r="D990" s="11"/>
      <c r="E990" s="11"/>
    </row>
    <row r="991">
      <c r="A991" s="11"/>
      <c r="B991" s="11"/>
      <c r="C991" s="11"/>
      <c r="D991" s="11"/>
      <c r="E991" s="11"/>
    </row>
    <row r="992">
      <c r="A992" s="11"/>
      <c r="B992" s="11"/>
      <c r="C992" s="11"/>
      <c r="D992" s="11"/>
      <c r="E992" s="11"/>
    </row>
    <row r="993">
      <c r="A993" s="11"/>
      <c r="B993" s="11"/>
      <c r="C993" s="11"/>
      <c r="D993" s="11"/>
      <c r="E993" s="11"/>
    </row>
    <row r="994">
      <c r="A994" s="11"/>
      <c r="B994" s="11"/>
      <c r="C994" s="11"/>
      <c r="D994" s="11"/>
      <c r="E994" s="11"/>
    </row>
    <row r="995">
      <c r="A995" s="11"/>
      <c r="B995" s="11"/>
      <c r="C995" s="11"/>
      <c r="D995" s="11"/>
      <c r="E995" s="11"/>
    </row>
    <row r="996">
      <c r="A996" s="11"/>
      <c r="B996" s="11"/>
      <c r="C996" s="11"/>
      <c r="D996" s="11"/>
      <c r="E996" s="11"/>
    </row>
    <row r="997">
      <c r="A997" s="11"/>
      <c r="B997" s="11"/>
      <c r="C997" s="11"/>
      <c r="D997" s="11"/>
      <c r="E997" s="11"/>
    </row>
    <row r="998">
      <c r="A998" s="11"/>
      <c r="B998" s="11"/>
      <c r="C998" s="11"/>
      <c r="D998" s="11"/>
      <c r="E998" s="11"/>
    </row>
    <row r="999">
      <c r="A999" s="11"/>
      <c r="B999" s="11"/>
      <c r="C999" s="11"/>
      <c r="D999" s="11"/>
      <c r="E999" s="11"/>
    </row>
    <row r="1000">
      <c r="A1000" s="11"/>
      <c r="B1000" s="11"/>
      <c r="C1000" s="11"/>
      <c r="D1000" s="11"/>
      <c r="E1000" s="11"/>
    </row>
  </sheetData>
  <conditionalFormatting sqref="A2:C100">
    <cfRule type="expression" dxfId="5" priority="1">
      <formula>$E2=1</formula>
    </cfRule>
  </conditionalFormatting>
  <conditionalFormatting sqref="B2:B100">
    <cfRule type="cellIs" dxfId="6" priority="2" operator="greaterThan">
      <formula>100</formula>
    </cfRule>
  </conditionalFormatting>
  <conditionalFormatting sqref="B2:B100">
    <cfRule type="colorScale" priority="3">
      <colorScale>
        <cfvo type="min"/>
        <cfvo type="percentile" val="50"/>
        <cfvo type="formula" val="100"/>
        <color rgb="FF57BB8A"/>
        <color rgb="FFFFD666"/>
        <color rgb="FFE67C73"/>
      </colorScale>
    </cfRule>
  </conditionalFormatting>
  <dataValidations>
    <dataValidation type="custom" allowBlank="1" showDropDown="1" sqref="A2:B100">
      <formula1>AND(ISNUMBER(A2),(NOT(OR(NOT(ISERROR(DATEVALUE(A2))), AND(ISNUMBER(A2), LEFT(CELL("format", A2))="D")))))</formula1>
    </dataValidation>
    <dataValidation type="list" allowBlank="1" sqref="D2:D100">
      <formula1>#REF!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13"/>
    <col customWidth="1" min="17" max="17" width="3.25"/>
    <col customWidth="1" min="18" max="18" width="17.88"/>
    <col customWidth="1" min="19" max="19" width="24.0"/>
    <col customWidth="1" min="20" max="20" width="17.25"/>
    <col customWidth="1" min="21" max="21" width="19.75"/>
    <col customWidth="1" min="23" max="23" width="21.75"/>
    <col customWidth="1" min="24" max="24" width="42.38"/>
    <col customWidth="1" min="25" max="25" width="1.38"/>
    <col customWidth="1" min="27" max="27" width="17.25"/>
    <col customWidth="1" min="28" max="28" width="15.25"/>
  </cols>
  <sheetData>
    <row r="1">
      <c r="A1" s="12">
        <v>31.0</v>
      </c>
      <c r="K1" s="13"/>
      <c r="R1" s="14" t="s">
        <v>81</v>
      </c>
    </row>
    <row r="2">
      <c r="R2" s="14">
        <f>Acumulado!AJ59</f>
        <v>31</v>
      </c>
      <c r="S2" s="15" t="s">
        <v>82</v>
      </c>
      <c r="T2" s="15" t="s">
        <v>83</v>
      </c>
      <c r="U2" s="15" t="s">
        <v>84</v>
      </c>
    </row>
    <row r="3">
      <c r="R3" s="16" t="s">
        <v>10</v>
      </c>
      <c r="S3" s="17">
        <f>Acumulado!AM216</f>
        <v>-7</v>
      </c>
      <c r="T3" s="17">
        <f>Acumulado!AN216</f>
        <v>-7</v>
      </c>
      <c r="U3" s="17">
        <v>-14</v>
      </c>
    </row>
    <row r="4">
      <c r="R4" s="18" t="s">
        <v>85</v>
      </c>
      <c r="S4" s="17">
        <f>Acumulado!AM218</f>
        <v>61</v>
      </c>
      <c r="T4" s="17">
        <f>Acumulado!AN218</f>
        <v>61</v>
      </c>
      <c r="U4" s="17">
        <v>122</v>
      </c>
    </row>
    <row r="5">
      <c r="R5" s="18" t="s">
        <v>24</v>
      </c>
      <c r="S5" s="17">
        <f>Acumulado!AM221</f>
        <v>-221</v>
      </c>
      <c r="T5" s="17">
        <f>Acumulado!AN221</f>
        <v>-221</v>
      </c>
      <c r="U5" s="17">
        <v>-442</v>
      </c>
    </row>
    <row r="6">
      <c r="R6" s="19" t="s">
        <v>86</v>
      </c>
      <c r="S6" s="17">
        <f>Acumulado!AM222</f>
        <v>387</v>
      </c>
      <c r="T6" s="17">
        <f>Acumulado!AN222</f>
        <v>387</v>
      </c>
      <c r="U6" s="17">
        <v>774</v>
      </c>
    </row>
    <row r="7">
      <c r="R7" s="19" t="s">
        <v>41</v>
      </c>
      <c r="S7" s="17">
        <f>Acumulado!AM223</f>
        <v>-12</v>
      </c>
      <c r="T7" s="17">
        <f>Acumulado!AN223</f>
        <v>-12</v>
      </c>
      <c r="U7" s="17">
        <v>-24</v>
      </c>
    </row>
    <row r="8">
      <c r="R8" s="20" t="s">
        <v>87</v>
      </c>
      <c r="S8" s="17">
        <f>Acumulado!AM225</f>
        <v>150</v>
      </c>
      <c r="T8" s="17">
        <f>Acumulado!AN225</f>
        <v>150</v>
      </c>
      <c r="U8" s="17">
        <v>300</v>
      </c>
    </row>
    <row r="9">
      <c r="R9" s="21" t="s">
        <v>88</v>
      </c>
      <c r="S9" s="17">
        <f>Acumulado!AM227</f>
        <v>145</v>
      </c>
      <c r="T9" s="17">
        <f>Acumulado!AN227</f>
        <v>145</v>
      </c>
      <c r="U9" s="17">
        <v>290</v>
      </c>
    </row>
    <row r="10">
      <c r="R10" s="22" t="s">
        <v>89</v>
      </c>
      <c r="S10" s="17">
        <f>Acumulado!AM233</f>
        <v>164.8</v>
      </c>
      <c r="T10" s="17">
        <f>Acumulado!AN233</f>
        <v>164.8</v>
      </c>
      <c r="U10" s="17">
        <v>329.6</v>
      </c>
    </row>
    <row r="11">
      <c r="R11" s="16" t="s">
        <v>9</v>
      </c>
      <c r="S11" s="17">
        <f>Acumulado!AM236</f>
        <v>-292.67</v>
      </c>
      <c r="T11" s="17">
        <f>Acumulado!AN236</f>
        <v>-292.67</v>
      </c>
      <c r="U11" s="17">
        <v>-585.34</v>
      </c>
    </row>
    <row r="12">
      <c r="S12" s="23">
        <f t="shared" ref="S12:T12" si="1">SUM(S3:S11)</f>
        <v>375.13</v>
      </c>
      <c r="T12" s="24">
        <f t="shared" si="1"/>
        <v>375.13</v>
      </c>
      <c r="U12" s="17">
        <v>750.26</v>
      </c>
    </row>
    <row r="13">
      <c r="R13" s="25" t="s">
        <v>90</v>
      </c>
      <c r="AC13" s="26"/>
      <c r="AD13" s="26"/>
      <c r="AE13" s="26"/>
      <c r="AF13" s="26"/>
    </row>
    <row r="14">
      <c r="R14" s="27">
        <f>Acumulado!D192</f>
        <v>0.8810546008</v>
      </c>
      <c r="AC14" s="26"/>
      <c r="AD14" s="26"/>
      <c r="AE14" s="26"/>
      <c r="AF14" s="26"/>
    </row>
    <row r="15">
      <c r="S15" s="28" t="s">
        <v>91</v>
      </c>
      <c r="T15" s="29"/>
      <c r="U15" s="29"/>
      <c r="V15" s="29"/>
      <c r="W15" s="30"/>
      <c r="AC15" s="26"/>
      <c r="AD15" s="26"/>
      <c r="AE15" s="26"/>
      <c r="AF15" s="26"/>
    </row>
    <row r="16">
      <c r="S16" s="16" t="s">
        <v>7</v>
      </c>
      <c r="T16" s="21" t="s">
        <v>92</v>
      </c>
      <c r="U16" s="21" t="s">
        <v>93</v>
      </c>
      <c r="V16" s="31" t="s">
        <v>94</v>
      </c>
      <c r="W16" s="32" t="s">
        <v>47</v>
      </c>
      <c r="X16" s="32" t="s">
        <v>95</v>
      </c>
      <c r="Y16" s="11"/>
      <c r="Z16" s="33" t="s">
        <v>96</v>
      </c>
      <c r="AA16" s="33" t="s">
        <v>97</v>
      </c>
      <c r="AB16" s="33" t="s">
        <v>98</v>
      </c>
      <c r="AC16" s="34" t="s">
        <v>99</v>
      </c>
      <c r="AD16" s="34" t="s">
        <v>100</v>
      </c>
      <c r="AE16" s="35" t="s">
        <v>101</v>
      </c>
      <c r="AF16" s="35" t="s">
        <v>95</v>
      </c>
    </row>
    <row r="17">
      <c r="R17" s="36" t="s">
        <v>102</v>
      </c>
      <c r="S17" s="37">
        <v>450.11</v>
      </c>
      <c r="T17" s="37">
        <v>0.0</v>
      </c>
      <c r="U17" s="37">
        <v>0.0</v>
      </c>
      <c r="V17" s="37">
        <v>0.0</v>
      </c>
      <c r="W17" s="37">
        <v>0.0</v>
      </c>
      <c r="X17" s="38"/>
      <c r="Y17" s="11"/>
      <c r="Z17" s="39">
        <f t="shared" ref="Z17:Z28" si="2">SUM(S17:W17)*-1</f>
        <v>-450.11</v>
      </c>
      <c r="AA17" s="37">
        <v>-136.80000000000004</v>
      </c>
      <c r="AB17" s="40">
        <v>1.0433762445304078</v>
      </c>
      <c r="AC17" s="41">
        <v>-586.91</v>
      </c>
      <c r="AD17" s="41">
        <v>-586.91</v>
      </c>
      <c r="AE17" s="41"/>
      <c r="AF17" s="42"/>
    </row>
    <row r="18">
      <c r="R18" s="36" t="s">
        <v>103</v>
      </c>
      <c r="S18" s="37">
        <v>0.0</v>
      </c>
      <c r="T18" s="37">
        <v>6943.0</v>
      </c>
      <c r="U18" s="37">
        <v>0.0</v>
      </c>
      <c r="V18" s="37">
        <v>340.0</v>
      </c>
      <c r="W18" s="37">
        <v>0.0</v>
      </c>
      <c r="X18" s="38" t="s">
        <v>104</v>
      </c>
      <c r="Y18" s="11"/>
      <c r="Z18" s="39">
        <f t="shared" si="2"/>
        <v>-7283</v>
      </c>
      <c r="AA18" s="43">
        <v>-1.0</v>
      </c>
      <c r="AB18" s="40">
        <v>1.0</v>
      </c>
      <c r="AC18" s="41">
        <v>-7284</v>
      </c>
      <c r="AD18" s="41">
        <v>-7284</v>
      </c>
      <c r="AE18" s="44">
        <v>14000.0</v>
      </c>
      <c r="AF18" s="45" t="s">
        <v>105</v>
      </c>
    </row>
    <row r="19">
      <c r="R19" s="36" t="s">
        <v>106</v>
      </c>
      <c r="S19" s="43">
        <v>0.0</v>
      </c>
      <c r="T19" s="43">
        <v>0.0</v>
      </c>
      <c r="U19" s="43">
        <v>437.0</v>
      </c>
      <c r="V19" s="43">
        <v>0.0</v>
      </c>
      <c r="W19" s="43">
        <v>0.0</v>
      </c>
      <c r="X19" s="38" t="s">
        <v>107</v>
      </c>
      <c r="Y19" s="11"/>
      <c r="Z19" s="39">
        <f t="shared" si="2"/>
        <v>-437</v>
      </c>
      <c r="AA19" s="43">
        <v>893.0</v>
      </c>
      <c r="AB19" s="40">
        <v>0.72</v>
      </c>
      <c r="AC19" s="41">
        <v>456</v>
      </c>
      <c r="AD19" s="41">
        <v>456</v>
      </c>
      <c r="AE19" s="41"/>
      <c r="AF19" s="42"/>
    </row>
    <row r="20">
      <c r="R20" s="36" t="s">
        <v>108</v>
      </c>
      <c r="S20" s="43">
        <v>487.0</v>
      </c>
      <c r="T20" s="43">
        <v>0.0</v>
      </c>
      <c r="U20" s="43">
        <v>0.0</v>
      </c>
      <c r="V20" s="43">
        <v>0.0</v>
      </c>
      <c r="W20" s="43">
        <v>1466.0</v>
      </c>
      <c r="X20" s="38" t="s">
        <v>109</v>
      </c>
      <c r="Y20" s="11"/>
      <c r="Z20" s="39">
        <f t="shared" si="2"/>
        <v>-1953</v>
      </c>
      <c r="AA20" s="43">
        <v>496.9945161290322</v>
      </c>
      <c r="AB20" s="40">
        <v>0.8371612023590589</v>
      </c>
      <c r="AC20" s="41">
        <v>-1456.005484</v>
      </c>
      <c r="AD20" s="41">
        <v>-1456.005484</v>
      </c>
      <c r="AE20" s="41"/>
      <c r="AF20" s="42"/>
    </row>
    <row r="21">
      <c r="R21" s="15" t="s">
        <v>110</v>
      </c>
      <c r="S21" s="46">
        <f>SUMIF(Data!$D$2:$D$100,S$16,Data!$B$2:$B$100)</f>
        <v>0</v>
      </c>
      <c r="T21" s="46">
        <f>SUMIF(Data!$D$2:$D$100,T$16,Data!$B$2:$B$100)</f>
        <v>0</v>
      </c>
      <c r="U21" s="46">
        <f>SUMIF(Data!$D$2:$D$100,U$16,Data!$B$2:$B$100)</f>
        <v>0</v>
      </c>
      <c r="V21" s="46">
        <f>SUMIF(Data!$D$2:$D$100,V$16,Data!$B$2:$B$100)</f>
        <v>0</v>
      </c>
      <c r="W21" s="46">
        <f>SUMIF(Data!$D$2:$D$100,W$16,Data!$B$2:$B$100)</f>
        <v>660</v>
      </c>
      <c r="X21" s="47" t="s">
        <v>111</v>
      </c>
      <c r="Y21" s="11"/>
      <c r="Z21" s="39">
        <f t="shared" si="2"/>
        <v>-660</v>
      </c>
      <c r="AA21" s="46">
        <f>$S$12</f>
        <v>375.13</v>
      </c>
      <c r="AB21" s="48">
        <f>Acumulado!$D$192</f>
        <v>0.8810546008</v>
      </c>
      <c r="AC21" s="41">
        <v>-284.87</v>
      </c>
      <c r="AD21" s="41">
        <v>-284.87</v>
      </c>
      <c r="AE21" s="41"/>
      <c r="AF21" s="42"/>
    </row>
    <row r="22">
      <c r="R22" s="14" t="s">
        <v>112</v>
      </c>
      <c r="S22" s="49">
        <v>412.5</v>
      </c>
      <c r="T22" s="39"/>
      <c r="U22" s="39"/>
      <c r="V22" s="39"/>
      <c r="W22" s="39"/>
      <c r="X22" s="42"/>
      <c r="Y22" s="11"/>
      <c r="Z22" s="39">
        <f t="shared" si="2"/>
        <v>-412.5</v>
      </c>
      <c r="AA22" s="39"/>
      <c r="AB22" s="50"/>
      <c r="AC22" s="41">
        <v>-412.5</v>
      </c>
      <c r="AD22" s="41">
        <v>-412.5</v>
      </c>
      <c r="AE22" s="41"/>
      <c r="AF22" s="42"/>
    </row>
    <row r="23">
      <c r="R23" s="14" t="s">
        <v>113</v>
      </c>
      <c r="S23" s="39"/>
      <c r="T23" s="39"/>
      <c r="U23" s="39"/>
      <c r="V23" s="39"/>
      <c r="W23" s="39"/>
      <c r="X23" s="42"/>
      <c r="Y23" s="11"/>
      <c r="Z23" s="39">
        <f t="shared" si="2"/>
        <v>0</v>
      </c>
      <c r="AA23" s="39"/>
      <c r="AB23" s="50"/>
      <c r="AC23" s="41">
        <v>0</v>
      </c>
      <c r="AD23" s="41">
        <v>0</v>
      </c>
      <c r="AE23" s="41"/>
      <c r="AF23" s="47"/>
    </row>
    <row r="24">
      <c r="R24" s="14" t="s">
        <v>114</v>
      </c>
      <c r="S24" s="39"/>
      <c r="T24" s="39"/>
      <c r="U24" s="39"/>
      <c r="V24" s="39"/>
      <c r="W24" s="39"/>
      <c r="X24" s="42"/>
      <c r="Y24" s="11"/>
      <c r="Z24" s="39">
        <f t="shared" si="2"/>
        <v>0</v>
      </c>
      <c r="AA24" s="39"/>
      <c r="AB24" s="50"/>
      <c r="AC24" s="41">
        <v>0</v>
      </c>
      <c r="AD24" s="41">
        <v>0</v>
      </c>
      <c r="AE24" s="41"/>
      <c r="AF24" s="47"/>
    </row>
    <row r="25">
      <c r="R25" s="14" t="s">
        <v>115</v>
      </c>
      <c r="S25" s="49">
        <v>412.5</v>
      </c>
      <c r="T25" s="39"/>
      <c r="U25" s="39"/>
      <c r="V25" s="39"/>
      <c r="W25" s="39"/>
      <c r="X25" s="42"/>
      <c r="Y25" s="11"/>
      <c r="Z25" s="39">
        <f t="shared" si="2"/>
        <v>-412.5</v>
      </c>
      <c r="AA25" s="39"/>
      <c r="AB25" s="50"/>
      <c r="AC25" s="41">
        <v>-412.5</v>
      </c>
      <c r="AD25" s="41">
        <v>-412.5</v>
      </c>
      <c r="AE25" s="41"/>
      <c r="AF25" s="51"/>
    </row>
    <row r="26">
      <c r="R26" s="14" t="s">
        <v>116</v>
      </c>
      <c r="S26" s="39"/>
      <c r="T26" s="52">
        <v>600.0</v>
      </c>
      <c r="U26" s="52">
        <v>450.0</v>
      </c>
      <c r="V26" s="39"/>
      <c r="W26" s="39"/>
      <c r="X26" s="42"/>
      <c r="Y26" s="11"/>
      <c r="Z26" s="39">
        <f t="shared" si="2"/>
        <v>-1050</v>
      </c>
      <c r="AA26" s="39"/>
      <c r="AB26" s="50"/>
      <c r="AC26" s="41">
        <v>-1050</v>
      </c>
      <c r="AD26" s="41">
        <v>-1050</v>
      </c>
      <c r="AE26" s="41"/>
      <c r="AF26" s="47"/>
    </row>
    <row r="27">
      <c r="R27" s="14" t="s">
        <v>117</v>
      </c>
      <c r="S27" s="39"/>
      <c r="T27" s="39"/>
      <c r="U27" s="39"/>
      <c r="V27" s="39"/>
      <c r="W27" s="39"/>
      <c r="X27" s="42"/>
      <c r="Y27" s="11"/>
      <c r="Z27" s="39">
        <f t="shared" si="2"/>
        <v>0</v>
      </c>
      <c r="AA27" s="39"/>
      <c r="AB27" s="50"/>
      <c r="AC27" s="41">
        <v>0</v>
      </c>
      <c r="AD27" s="41">
        <v>0</v>
      </c>
      <c r="AE27" s="44"/>
      <c r="AF27" s="47"/>
    </row>
    <row r="28">
      <c r="R28" s="14" t="s">
        <v>118</v>
      </c>
      <c r="S28" s="49">
        <v>412.5</v>
      </c>
      <c r="T28" s="39"/>
      <c r="U28" s="39"/>
      <c r="V28" s="52">
        <v>3000.0</v>
      </c>
      <c r="W28" s="39"/>
      <c r="X28" s="42"/>
      <c r="Y28" s="11"/>
      <c r="Z28" s="39">
        <f t="shared" si="2"/>
        <v>-3412.5</v>
      </c>
      <c r="AA28" s="39"/>
      <c r="AB28" s="50"/>
      <c r="AC28" s="41">
        <v>-3412.5</v>
      </c>
      <c r="AD28" s="41">
        <v>-3412.5</v>
      </c>
      <c r="AE28" s="41"/>
      <c r="AF28" s="53"/>
    </row>
    <row r="29">
      <c r="R29" s="54" t="s">
        <v>119</v>
      </c>
      <c r="S29" s="55">
        <f t="shared" ref="S29:W29" si="3">SUM(S17:S28)</f>
        <v>2174.61</v>
      </c>
      <c r="T29" s="55">
        <f t="shared" si="3"/>
        <v>7543</v>
      </c>
      <c r="U29" s="55">
        <f t="shared" si="3"/>
        <v>887</v>
      </c>
      <c r="V29" s="55">
        <f t="shared" si="3"/>
        <v>3340</v>
      </c>
      <c r="W29" s="55">
        <f t="shared" si="3"/>
        <v>2126</v>
      </c>
      <c r="X29" s="26"/>
      <c r="Y29" s="11"/>
      <c r="Z29" s="55">
        <f t="shared" ref="Z29:Z32" si="4">SUM(S29:W29)</f>
        <v>16070.61</v>
      </c>
      <c r="AA29" s="55">
        <f>SUM(AA17:AA28)</f>
        <v>1627.324516</v>
      </c>
      <c r="AB29" s="50">
        <f>AVERAGE(AB17:AB28)</f>
        <v>0.8963184095</v>
      </c>
      <c r="AC29" s="41">
        <v>-14443.28548</v>
      </c>
      <c r="AD29" s="41">
        <v>-14443.28548</v>
      </c>
      <c r="AE29" s="41">
        <v>14000</v>
      </c>
      <c r="AF29" s="41">
        <v>0</v>
      </c>
    </row>
    <row r="30">
      <c r="R30" s="54" t="s">
        <v>120</v>
      </c>
      <c r="S30" s="55">
        <f>Presupuesto!F7/4*3</f>
        <v>1649.7</v>
      </c>
      <c r="T30" s="55">
        <f>Presupuesto!F39</f>
        <v>600</v>
      </c>
      <c r="U30" s="55">
        <f>Presupuesto!F40</f>
        <v>900</v>
      </c>
      <c r="V30" s="55">
        <f>Presupuesto!F54</f>
        <v>3000</v>
      </c>
      <c r="W30" s="55">
        <v>0.0</v>
      </c>
      <c r="X30" s="26"/>
      <c r="Y30" s="11"/>
      <c r="Z30" s="55">
        <f t="shared" si="4"/>
        <v>6149.7</v>
      </c>
      <c r="AC30" s="26"/>
      <c r="AD30" s="26"/>
      <c r="AE30" s="26"/>
      <c r="AF30" s="26"/>
    </row>
    <row r="31">
      <c r="R31" s="54" t="s">
        <v>121</v>
      </c>
      <c r="S31" s="17">
        <f t="shared" ref="S31:W31" si="5">S30-S29</f>
        <v>-524.91</v>
      </c>
      <c r="T31" s="17">
        <f t="shared" si="5"/>
        <v>-6943</v>
      </c>
      <c r="U31" s="17">
        <f t="shared" si="5"/>
        <v>13</v>
      </c>
      <c r="V31" s="17">
        <f t="shared" si="5"/>
        <v>-340</v>
      </c>
      <c r="W31" s="17">
        <f t="shared" si="5"/>
        <v>-2126</v>
      </c>
      <c r="X31" s="26"/>
      <c r="Y31" s="11"/>
      <c r="Z31" s="17">
        <f t="shared" si="4"/>
        <v>-9920.91</v>
      </c>
      <c r="AA31" s="17">
        <v>-8293.585484</v>
      </c>
      <c r="AC31" s="26"/>
      <c r="AD31" s="26"/>
      <c r="AE31" s="26"/>
      <c r="AF31" s="26"/>
    </row>
    <row r="32">
      <c r="R32" s="54" t="s">
        <v>122</v>
      </c>
      <c r="S32" s="17">
        <f t="shared" ref="S32:W32" si="6">S31/12</f>
        <v>-43.7425</v>
      </c>
      <c r="T32" s="17">
        <f t="shared" si="6"/>
        <v>-578.5833333</v>
      </c>
      <c r="U32" s="17">
        <f t="shared" si="6"/>
        <v>1.083333333</v>
      </c>
      <c r="V32" s="17">
        <f t="shared" si="6"/>
        <v>-28.33333333</v>
      </c>
      <c r="W32" s="17">
        <f t="shared" si="6"/>
        <v>-177.1666667</v>
      </c>
      <c r="X32" s="26"/>
      <c r="Y32" s="11"/>
      <c r="Z32" s="17">
        <f t="shared" si="4"/>
        <v>-826.7425</v>
      </c>
      <c r="AA32" s="17">
        <f>AA31/12</f>
        <v>-691.1321237</v>
      </c>
      <c r="AC32" s="26"/>
      <c r="AD32" s="26"/>
      <c r="AE32" s="26"/>
      <c r="AF32" s="26"/>
    </row>
    <row r="33">
      <c r="W33" s="11"/>
      <c r="X33" s="26"/>
      <c r="Y33" s="11"/>
      <c r="Z33" s="11"/>
      <c r="AA33" s="11"/>
      <c r="AC33" s="26"/>
      <c r="AD33" s="26"/>
      <c r="AE33" s="26"/>
      <c r="AF33" s="26"/>
    </row>
    <row r="34">
      <c r="T34" s="56"/>
      <c r="X34" s="26"/>
      <c r="AA34" s="33" t="s">
        <v>123</v>
      </c>
      <c r="AB34" s="33" t="s">
        <v>124</v>
      </c>
      <c r="AC34" s="26"/>
      <c r="AD34" s="26"/>
      <c r="AE34" s="26"/>
      <c r="AF34" s="26"/>
    </row>
    <row r="35">
      <c r="X35" s="26"/>
      <c r="Z35" s="16" t="s">
        <v>125</v>
      </c>
      <c r="AA35" s="17">
        <f>Z31+AA29+AE29</f>
        <v>5706.414516</v>
      </c>
      <c r="AB35" s="17">
        <f>AA35-W31</f>
        <v>7832.414516</v>
      </c>
    </row>
    <row r="36">
      <c r="X36" s="26"/>
      <c r="Z36" s="16" t="s">
        <v>126</v>
      </c>
      <c r="AA36" s="17">
        <f t="shared" ref="AA36:AB36" si="7">AA35/12</f>
        <v>475.534543</v>
      </c>
      <c r="AB36" s="17">
        <f t="shared" si="7"/>
        <v>652.7012097</v>
      </c>
    </row>
    <row r="37">
      <c r="X37" s="26"/>
    </row>
    <row r="38">
      <c r="R38" s="57" t="s">
        <v>47</v>
      </c>
      <c r="S38" s="29"/>
      <c r="T38" s="29"/>
      <c r="U38" s="29"/>
      <c r="V38" s="30"/>
      <c r="X38" s="26"/>
    </row>
    <row r="39">
      <c r="R39" s="58" t="s">
        <v>127</v>
      </c>
      <c r="S39" s="58" t="s">
        <v>91</v>
      </c>
      <c r="T39" s="59" t="s">
        <v>1</v>
      </c>
      <c r="U39" s="60" t="s">
        <v>128</v>
      </c>
      <c r="V39" s="60" t="s">
        <v>129</v>
      </c>
      <c r="W39" s="61"/>
      <c r="X39" s="26"/>
    </row>
    <row r="40">
      <c r="R40" s="58"/>
      <c r="S40" s="62" t="s">
        <v>130</v>
      </c>
      <c r="T40" s="63">
        <f>SUM(T41:T55)</f>
        <v>8937</v>
      </c>
      <c r="U40" s="60"/>
      <c r="V40" s="60"/>
      <c r="W40" s="61"/>
      <c r="X40" s="26"/>
    </row>
    <row r="41">
      <c r="R41" s="58" t="s">
        <v>131</v>
      </c>
      <c r="S41" s="58" t="s">
        <v>132</v>
      </c>
      <c r="T41" s="64">
        <v>3675.0</v>
      </c>
      <c r="U41" s="64" t="s">
        <v>133</v>
      </c>
      <c r="V41" s="16"/>
      <c r="W41" s="65">
        <f t="shared" ref="W41:W55" si="8">IF(U41="Pagado",1,IF(U41="Solo Cotizado",2,IF(U41="Reservado no Pagado",3,4)))
</f>
        <v>1</v>
      </c>
      <c r="X41" s="26"/>
    </row>
    <row r="42">
      <c r="R42" s="58" t="s">
        <v>131</v>
      </c>
      <c r="S42" s="58" t="s">
        <v>134</v>
      </c>
      <c r="T42" s="64">
        <v>996.0</v>
      </c>
      <c r="U42" s="64" t="s">
        <v>133</v>
      </c>
      <c r="V42" s="16"/>
      <c r="W42" s="65">
        <f t="shared" si="8"/>
        <v>1</v>
      </c>
      <c r="X42" s="26"/>
    </row>
    <row r="43">
      <c r="R43" s="58" t="s">
        <v>131</v>
      </c>
      <c r="S43" s="58" t="s">
        <v>135</v>
      </c>
      <c r="T43" s="64">
        <v>675.0</v>
      </c>
      <c r="U43" s="64" t="s">
        <v>133</v>
      </c>
      <c r="V43" s="16"/>
      <c r="W43" s="65">
        <f t="shared" si="8"/>
        <v>1</v>
      </c>
      <c r="X43" s="26"/>
    </row>
    <row r="44">
      <c r="R44" s="58" t="s">
        <v>131</v>
      </c>
      <c r="S44" s="58" t="s">
        <v>136</v>
      </c>
      <c r="T44" s="64">
        <v>1147.0</v>
      </c>
      <c r="U44" s="64" t="s">
        <v>133</v>
      </c>
      <c r="V44" s="16"/>
      <c r="W44" s="65">
        <f t="shared" si="8"/>
        <v>1</v>
      </c>
      <c r="X44" s="26"/>
    </row>
    <row r="45">
      <c r="R45" s="58" t="s">
        <v>131</v>
      </c>
      <c r="S45" s="59"/>
      <c r="T45" s="64"/>
      <c r="U45" s="64"/>
      <c r="V45" s="16"/>
      <c r="W45" s="65">
        <f t="shared" si="8"/>
        <v>4</v>
      </c>
      <c r="X45" s="26"/>
    </row>
    <row r="46">
      <c r="R46" s="58" t="s">
        <v>131</v>
      </c>
      <c r="S46" s="58" t="s">
        <v>137</v>
      </c>
      <c r="T46" s="64">
        <v>942.0</v>
      </c>
      <c r="U46" s="64" t="s">
        <v>133</v>
      </c>
      <c r="V46" s="16"/>
      <c r="W46" s="65">
        <f t="shared" si="8"/>
        <v>1</v>
      </c>
      <c r="X46" s="26"/>
    </row>
    <row r="47">
      <c r="R47" s="58" t="s">
        <v>131</v>
      </c>
      <c r="S47" s="58" t="s">
        <v>138</v>
      </c>
      <c r="T47" s="64">
        <v>726.0</v>
      </c>
      <c r="U47" s="64" t="s">
        <v>133</v>
      </c>
      <c r="V47" s="16"/>
      <c r="W47" s="65">
        <f t="shared" si="8"/>
        <v>1</v>
      </c>
      <c r="X47" s="26"/>
    </row>
    <row r="48">
      <c r="R48" s="58" t="s">
        <v>131</v>
      </c>
      <c r="S48" s="59"/>
      <c r="T48" s="64"/>
      <c r="U48" s="64"/>
      <c r="V48" s="16"/>
      <c r="W48" s="65">
        <f t="shared" si="8"/>
        <v>4</v>
      </c>
      <c r="X48" s="26"/>
    </row>
    <row r="49">
      <c r="R49" s="58" t="s">
        <v>131</v>
      </c>
      <c r="S49" s="58" t="s">
        <v>139</v>
      </c>
      <c r="T49" s="64">
        <v>356.0</v>
      </c>
      <c r="U49" s="64" t="s">
        <v>133</v>
      </c>
      <c r="V49" s="16"/>
      <c r="W49" s="65">
        <f t="shared" si="8"/>
        <v>1</v>
      </c>
      <c r="X49" s="26"/>
    </row>
    <row r="50">
      <c r="R50" s="58" t="s">
        <v>131</v>
      </c>
      <c r="S50" s="58" t="s">
        <v>140</v>
      </c>
      <c r="T50" s="64"/>
      <c r="U50" s="64"/>
      <c r="V50" s="16"/>
      <c r="W50" s="65">
        <f t="shared" si="8"/>
        <v>4</v>
      </c>
      <c r="X50" s="26"/>
    </row>
    <row r="51">
      <c r="R51" s="58" t="s">
        <v>131</v>
      </c>
      <c r="S51" s="58" t="s">
        <v>141</v>
      </c>
      <c r="T51" s="64"/>
      <c r="U51" s="64"/>
      <c r="V51" s="16"/>
      <c r="W51" s="65">
        <f t="shared" si="8"/>
        <v>4</v>
      </c>
      <c r="X51" s="26"/>
    </row>
    <row r="52">
      <c r="R52" s="58" t="s">
        <v>131</v>
      </c>
      <c r="S52" s="58" t="s">
        <v>142</v>
      </c>
      <c r="T52" s="64">
        <v>256.0</v>
      </c>
      <c r="U52" s="64" t="s">
        <v>133</v>
      </c>
      <c r="V52" s="16"/>
      <c r="W52" s="65">
        <f t="shared" si="8"/>
        <v>1</v>
      </c>
    </row>
    <row r="53">
      <c r="R53" s="58" t="s">
        <v>131</v>
      </c>
      <c r="S53" s="58" t="s">
        <v>143</v>
      </c>
      <c r="T53" s="64">
        <v>82.0</v>
      </c>
      <c r="U53" s="64" t="s">
        <v>133</v>
      </c>
      <c r="V53" s="16"/>
      <c r="W53" s="65">
        <f t="shared" si="8"/>
        <v>1</v>
      </c>
    </row>
    <row r="54">
      <c r="R54" s="58" t="s">
        <v>131</v>
      </c>
      <c r="S54" s="58" t="s">
        <v>144</v>
      </c>
      <c r="T54" s="64">
        <v>82.0</v>
      </c>
      <c r="U54" s="64" t="s">
        <v>133</v>
      </c>
      <c r="V54" s="16"/>
      <c r="W54" s="65">
        <f t="shared" si="8"/>
        <v>1</v>
      </c>
    </row>
    <row r="55">
      <c r="R55" s="58" t="s">
        <v>131</v>
      </c>
      <c r="S55" s="58"/>
      <c r="T55" s="64"/>
      <c r="U55" s="64"/>
      <c r="V55" s="16"/>
      <c r="W55" s="65">
        <f t="shared" si="8"/>
        <v>4</v>
      </c>
    </row>
    <row r="56">
      <c r="W56" s="66"/>
    </row>
    <row r="57">
      <c r="W57" s="66"/>
    </row>
    <row r="58">
      <c r="R58" s="57" t="s">
        <v>47</v>
      </c>
      <c r="S58" s="29"/>
      <c r="T58" s="29"/>
      <c r="U58" s="29"/>
      <c r="V58" s="30"/>
      <c r="W58" s="66"/>
    </row>
    <row r="59">
      <c r="R59" s="67" t="s">
        <v>127</v>
      </c>
      <c r="S59" s="67" t="s">
        <v>91</v>
      </c>
      <c r="T59" s="68" t="s">
        <v>1</v>
      </c>
      <c r="U59" s="16" t="s">
        <v>128</v>
      </c>
      <c r="V59" s="16" t="s">
        <v>129</v>
      </c>
      <c r="W59" s="66"/>
    </row>
    <row r="60">
      <c r="R60" s="67"/>
      <c r="S60" s="62" t="s">
        <v>130</v>
      </c>
      <c r="T60" s="63">
        <f>SUM(T61:T75)</f>
        <v>12249</v>
      </c>
      <c r="U60" s="16"/>
      <c r="V60" s="16"/>
      <c r="W60" s="66"/>
    </row>
    <row r="61">
      <c r="R61" s="58" t="s">
        <v>145</v>
      </c>
      <c r="S61" s="58" t="s">
        <v>146</v>
      </c>
      <c r="T61" s="64">
        <v>5511.0</v>
      </c>
      <c r="U61" s="64" t="s">
        <v>133</v>
      </c>
      <c r="V61" s="16"/>
      <c r="W61" s="65">
        <f t="shared" ref="W61:W75" si="9">IF(U61="Pagado",1,IF(U61="Solo Cotizado",2,IF(U61="Reservado no Pagado",3,4)))
</f>
        <v>1</v>
      </c>
    </row>
    <row r="62">
      <c r="R62" s="58" t="s">
        <v>145</v>
      </c>
      <c r="S62" s="58" t="s">
        <v>147</v>
      </c>
      <c r="T62" s="64">
        <v>3795.0</v>
      </c>
      <c r="U62" s="64" t="s">
        <v>133</v>
      </c>
      <c r="V62" s="16"/>
      <c r="W62" s="65">
        <f t="shared" si="9"/>
        <v>1</v>
      </c>
    </row>
    <row r="63">
      <c r="R63" s="58" t="s">
        <v>145</v>
      </c>
      <c r="S63" s="58" t="s">
        <v>148</v>
      </c>
      <c r="T63" s="64">
        <v>1024.0</v>
      </c>
      <c r="U63" s="64" t="s">
        <v>133</v>
      </c>
      <c r="V63" s="16"/>
      <c r="W63" s="65">
        <f t="shared" si="9"/>
        <v>1</v>
      </c>
    </row>
    <row r="64">
      <c r="R64" s="58" t="s">
        <v>145</v>
      </c>
      <c r="S64" s="58" t="s">
        <v>149</v>
      </c>
      <c r="T64" s="64">
        <v>256.0</v>
      </c>
      <c r="U64" s="64" t="s">
        <v>150</v>
      </c>
      <c r="V64" s="16"/>
      <c r="W64" s="65">
        <f t="shared" si="9"/>
        <v>2</v>
      </c>
    </row>
    <row r="65">
      <c r="R65" s="58" t="s">
        <v>145</v>
      </c>
      <c r="S65" s="59"/>
      <c r="T65" s="64"/>
      <c r="U65" s="64"/>
      <c r="V65" s="16"/>
      <c r="W65" s="65">
        <f t="shared" si="9"/>
        <v>4</v>
      </c>
    </row>
    <row r="66">
      <c r="R66" s="58" t="s">
        <v>145</v>
      </c>
      <c r="S66" s="58" t="s">
        <v>151</v>
      </c>
      <c r="T66" s="64">
        <v>524.0</v>
      </c>
      <c r="U66" s="64" t="s">
        <v>152</v>
      </c>
      <c r="V66" s="16"/>
      <c r="W66" s="65">
        <f t="shared" si="9"/>
        <v>3</v>
      </c>
    </row>
    <row r="67">
      <c r="R67" s="58" t="s">
        <v>145</v>
      </c>
      <c r="S67" s="58" t="s">
        <v>153</v>
      </c>
      <c r="T67" s="64">
        <v>1139.0</v>
      </c>
      <c r="U67" s="64" t="s">
        <v>152</v>
      </c>
      <c r="V67" s="16"/>
      <c r="W67" s="65">
        <f t="shared" si="9"/>
        <v>3</v>
      </c>
    </row>
    <row r="68">
      <c r="R68" s="58" t="s">
        <v>145</v>
      </c>
      <c r="S68" s="59"/>
      <c r="T68" s="64"/>
      <c r="U68" s="64"/>
      <c r="V68" s="16"/>
      <c r="W68" s="65">
        <f t="shared" si="9"/>
        <v>4</v>
      </c>
    </row>
    <row r="69">
      <c r="R69" s="58" t="s">
        <v>145</v>
      </c>
      <c r="S69" s="58" t="s">
        <v>154</v>
      </c>
      <c r="T69" s="64"/>
      <c r="U69" s="64"/>
      <c r="V69" s="16"/>
      <c r="W69" s="65">
        <f t="shared" si="9"/>
        <v>4</v>
      </c>
    </row>
    <row r="70">
      <c r="R70" s="58" t="s">
        <v>145</v>
      </c>
      <c r="S70" s="59" t="s">
        <v>139</v>
      </c>
      <c r="T70" s="64"/>
      <c r="U70" s="64"/>
      <c r="V70" s="16"/>
      <c r="W70" s="65">
        <f t="shared" si="9"/>
        <v>4</v>
      </c>
    </row>
    <row r="71">
      <c r="R71" s="58" t="s">
        <v>145</v>
      </c>
      <c r="S71" s="58" t="s">
        <v>141</v>
      </c>
      <c r="T71" s="64"/>
      <c r="U71" s="64"/>
      <c r="V71" s="16"/>
      <c r="W71" s="65">
        <f t="shared" si="9"/>
        <v>4</v>
      </c>
    </row>
    <row r="72">
      <c r="R72" s="58" t="s">
        <v>145</v>
      </c>
      <c r="S72" s="59"/>
      <c r="T72" s="64"/>
      <c r="U72" s="64"/>
      <c r="V72" s="16"/>
      <c r="W72" s="65">
        <f t="shared" si="9"/>
        <v>4</v>
      </c>
    </row>
    <row r="73">
      <c r="R73" s="58" t="s">
        <v>145</v>
      </c>
      <c r="S73" s="58"/>
      <c r="T73" s="64"/>
      <c r="U73" s="64"/>
      <c r="V73" s="16"/>
      <c r="W73" s="65">
        <f t="shared" si="9"/>
        <v>4</v>
      </c>
    </row>
    <row r="74">
      <c r="R74" s="58" t="s">
        <v>145</v>
      </c>
      <c r="S74" s="59"/>
      <c r="T74" s="64"/>
      <c r="U74" s="64"/>
      <c r="V74" s="16"/>
      <c r="W74" s="65">
        <f t="shared" si="9"/>
        <v>4</v>
      </c>
    </row>
    <row r="75">
      <c r="R75" s="58" t="s">
        <v>145</v>
      </c>
      <c r="S75" s="58"/>
      <c r="T75" s="64"/>
      <c r="U75" s="64"/>
      <c r="V75" s="16"/>
      <c r="W75" s="65">
        <f t="shared" si="9"/>
        <v>4</v>
      </c>
    </row>
    <row r="77">
      <c r="S77" s="67" t="s">
        <v>155</v>
      </c>
      <c r="T77" s="69">
        <v>2990.0</v>
      </c>
      <c r="U77" s="70" t="s">
        <v>133</v>
      </c>
    </row>
    <row r="79">
      <c r="S79" s="71" t="s">
        <v>156</v>
      </c>
      <c r="T79" s="69">
        <f>SUMIF(U41:U55,U79,T41:T55)+SUMIF(U61:U75,U79,T61:T75)</f>
        <v>19267</v>
      </c>
      <c r="U79" s="70" t="s">
        <v>133</v>
      </c>
    </row>
    <row r="80">
      <c r="S80" s="72"/>
      <c r="T80" s="73">
        <f>SUMIF(U41:U55,U80,T41:T55)+SUMIF(U61:U75,U80,T61:T75)</f>
        <v>1663</v>
      </c>
      <c r="U80" s="74" t="s">
        <v>152</v>
      </c>
    </row>
    <row r="81">
      <c r="S81" s="75"/>
      <c r="T81" s="76">
        <f>SUMIF(U41:U55,U81,T41:T55)+SUMIF(U61:U75,U81,T61:T75)</f>
        <v>256</v>
      </c>
      <c r="U81" s="77" t="s">
        <v>150</v>
      </c>
    </row>
    <row r="82">
      <c r="S82" s="62" t="s">
        <v>130</v>
      </c>
      <c r="T82" s="63">
        <f>T79+T80+T81+T77</f>
        <v>24176</v>
      </c>
    </row>
    <row r="84">
      <c r="V84" s="78" t="s">
        <v>157</v>
      </c>
    </row>
    <row r="85">
      <c r="T85" s="69">
        <v>22257</v>
      </c>
      <c r="U85" s="70" t="s">
        <v>133</v>
      </c>
      <c r="V85" s="79">
        <f t="shared" ref="V85:V87" si="10">T85/2</f>
        <v>11128.5</v>
      </c>
    </row>
    <row r="86">
      <c r="T86" s="69">
        <f>T85-1900</f>
        <v>20357</v>
      </c>
      <c r="U86" s="70" t="s">
        <v>158</v>
      </c>
      <c r="V86" s="79">
        <f t="shared" si="10"/>
        <v>10178.5</v>
      </c>
    </row>
    <row r="87">
      <c r="T87" s="80">
        <v>1919</v>
      </c>
      <c r="U87" s="81" t="s">
        <v>159</v>
      </c>
      <c r="V87" s="79">
        <f t="shared" si="10"/>
        <v>959.5</v>
      </c>
    </row>
    <row r="88">
      <c r="S88" s="82" t="s">
        <v>160</v>
      </c>
      <c r="T88" s="83">
        <f>T85+T87-T60-T40-T77</f>
        <v>0</v>
      </c>
      <c r="V88" s="79">
        <v>11138</v>
      </c>
    </row>
    <row r="90">
      <c r="T90" s="84">
        <v>9000.0</v>
      </c>
      <c r="U90" s="85" t="s">
        <v>161</v>
      </c>
      <c r="V90" s="11"/>
    </row>
    <row r="91">
      <c r="T91" s="84">
        <f>T86+T87-T90</f>
        <v>13276</v>
      </c>
      <c r="U91" s="85" t="s">
        <v>162</v>
      </c>
    </row>
    <row r="92">
      <c r="T92" s="86">
        <f>(T86+T87)/2-T90</f>
        <v>2138</v>
      </c>
      <c r="U92" s="87" t="s">
        <v>121</v>
      </c>
    </row>
    <row r="96">
      <c r="Z96" s="13"/>
      <c r="AA96" s="13"/>
    </row>
    <row r="97">
      <c r="R97" s="11"/>
      <c r="S97" s="78" t="s">
        <v>163</v>
      </c>
      <c r="T97" s="78" t="s">
        <v>164</v>
      </c>
      <c r="U97" s="78" t="s">
        <v>165</v>
      </c>
      <c r="V97" s="78" t="s">
        <v>166</v>
      </c>
      <c r="W97" s="78" t="s">
        <v>167</v>
      </c>
      <c r="Z97" s="88" t="str">
        <f t="shared" ref="Z97:Z495" si="11">concatenate(LEFT(T97,3)," - ",MID(T97,7,2))</f>
        <v>Día - </v>
      </c>
      <c r="AA97" s="13">
        <f t="shared" ref="AA97:AA495" si="12">ROW()</f>
        <v>97</v>
      </c>
    </row>
    <row r="98">
      <c r="I98" s="78" t="s">
        <v>168</v>
      </c>
      <c r="J98" s="78" t="s">
        <v>169</v>
      </c>
      <c r="K98" s="78" t="s">
        <v>170</v>
      </c>
      <c r="R98" s="11"/>
      <c r="S98" s="78" t="s">
        <v>171</v>
      </c>
      <c r="T98" s="89" t="s">
        <v>172</v>
      </c>
      <c r="U98" s="78" t="s">
        <v>173</v>
      </c>
      <c r="V98" s="78">
        <v>47.0</v>
      </c>
      <c r="W98" s="78">
        <v>41.0</v>
      </c>
      <c r="X98" s="78" t="s">
        <v>130</v>
      </c>
      <c r="Z98" s="88" t="str">
        <f t="shared" si="11"/>
        <v>W01 - Lu</v>
      </c>
      <c r="AA98" s="13">
        <f t="shared" si="12"/>
        <v>98</v>
      </c>
    </row>
    <row r="99">
      <c r="I99" s="90" t="s">
        <v>174</v>
      </c>
      <c r="J99" s="91">
        <v>2.0</v>
      </c>
      <c r="K99" s="91">
        <f>J99</f>
        <v>2</v>
      </c>
      <c r="R99" s="11"/>
      <c r="S99" s="11"/>
      <c r="T99" s="89" t="s">
        <v>172</v>
      </c>
      <c r="U99" s="78" t="s">
        <v>175</v>
      </c>
      <c r="V99" s="78">
        <v>30.0</v>
      </c>
      <c r="W99" s="78">
        <v>42.0</v>
      </c>
      <c r="X99" s="11">
        <f>SUM(V98:V100)</f>
        <v>127</v>
      </c>
      <c r="Z99" s="88" t="str">
        <f t="shared" si="11"/>
        <v>W01 - Lu</v>
      </c>
      <c r="AA99" s="13">
        <f t="shared" si="12"/>
        <v>99</v>
      </c>
    </row>
    <row r="100">
      <c r="I100" s="92" t="s">
        <v>176</v>
      </c>
      <c r="J100" s="93">
        <v>1.5</v>
      </c>
      <c r="K100" s="93">
        <v>3.5</v>
      </c>
      <c r="R100" s="11"/>
      <c r="S100" s="94">
        <v>359.9</v>
      </c>
      <c r="T100" s="89" t="s">
        <v>172</v>
      </c>
      <c r="U100" s="78" t="s">
        <v>177</v>
      </c>
      <c r="V100" s="78">
        <v>50.0</v>
      </c>
      <c r="W100" s="78">
        <v>42.0</v>
      </c>
      <c r="X100" s="94">
        <f>X99/60</f>
        <v>2.116666667</v>
      </c>
      <c r="Z100" s="88" t="str">
        <f t="shared" si="11"/>
        <v>W01 - Lu</v>
      </c>
      <c r="AA100" s="13">
        <f t="shared" si="12"/>
        <v>100</v>
      </c>
    </row>
    <row r="101">
      <c r="I101" s="92" t="s">
        <v>178</v>
      </c>
      <c r="J101" s="93">
        <v>2.0</v>
      </c>
      <c r="K101" s="93">
        <v>5.5</v>
      </c>
      <c r="R101" s="11"/>
      <c r="S101" s="78" t="s">
        <v>179</v>
      </c>
      <c r="T101" s="89"/>
      <c r="U101" s="11"/>
      <c r="V101" s="11"/>
      <c r="W101" s="95"/>
      <c r="Z101" s="88" t="str">
        <f t="shared" si="11"/>
        <v> - </v>
      </c>
      <c r="AA101" s="13">
        <f t="shared" si="12"/>
        <v>101</v>
      </c>
    </row>
    <row r="102">
      <c r="I102" s="92" t="s">
        <v>180</v>
      </c>
      <c r="J102" s="93">
        <v>2.0</v>
      </c>
      <c r="K102" s="93">
        <v>7.5</v>
      </c>
      <c r="R102" s="11"/>
      <c r="S102" s="11"/>
      <c r="T102" s="89" t="s">
        <v>172</v>
      </c>
      <c r="U102" s="78" t="s">
        <v>181</v>
      </c>
      <c r="V102" s="78">
        <v>7.0</v>
      </c>
      <c r="W102" s="78">
        <v>42.0</v>
      </c>
      <c r="X102" s="78" t="s">
        <v>130</v>
      </c>
      <c r="Z102" s="88" t="str">
        <f t="shared" si="11"/>
        <v>W01 - Lu</v>
      </c>
      <c r="AA102" s="13">
        <f t="shared" si="12"/>
        <v>102</v>
      </c>
    </row>
    <row r="103">
      <c r="I103" s="92" t="s">
        <v>182</v>
      </c>
      <c r="J103" s="93">
        <v>2.5</v>
      </c>
      <c r="K103" s="93">
        <v>10</v>
      </c>
      <c r="R103" s="11"/>
      <c r="S103" s="94">
        <v>179.95</v>
      </c>
      <c r="T103" s="89" t="s">
        <v>172</v>
      </c>
      <c r="U103" s="78" t="s">
        <v>183</v>
      </c>
      <c r="V103" s="78">
        <v>15.0</v>
      </c>
      <c r="W103" s="78">
        <v>42.0</v>
      </c>
      <c r="X103" s="11">
        <f>SUM(V102:V114)</f>
        <v>141</v>
      </c>
      <c r="Z103" s="88" t="str">
        <f t="shared" si="11"/>
        <v>W01 - Lu</v>
      </c>
      <c r="AA103" s="13">
        <f t="shared" si="12"/>
        <v>103</v>
      </c>
    </row>
    <row r="104">
      <c r="I104" s="92" t="s">
        <v>184</v>
      </c>
      <c r="J104" s="93">
        <v>2.5</v>
      </c>
      <c r="K104" s="93">
        <v>12.5</v>
      </c>
      <c r="R104" s="11"/>
      <c r="S104" s="78" t="s">
        <v>185</v>
      </c>
      <c r="T104" s="89" t="s">
        <v>172</v>
      </c>
      <c r="U104" s="78" t="s">
        <v>186</v>
      </c>
      <c r="V104" s="78">
        <v>12.0</v>
      </c>
      <c r="W104" s="78">
        <v>42.0</v>
      </c>
      <c r="X104" s="94">
        <f>X103/60</f>
        <v>2.35</v>
      </c>
      <c r="Z104" s="88" t="str">
        <f t="shared" si="11"/>
        <v>W01 - Lu</v>
      </c>
      <c r="AA104" s="13">
        <f t="shared" si="12"/>
        <v>104</v>
      </c>
    </row>
    <row r="105">
      <c r="I105" s="96" t="s">
        <v>187</v>
      </c>
      <c r="J105" s="97">
        <v>2.5</v>
      </c>
      <c r="K105" s="97">
        <v>15</v>
      </c>
      <c r="R105" s="11"/>
      <c r="S105" s="11"/>
      <c r="T105" s="89" t="s">
        <v>172</v>
      </c>
      <c r="U105" s="78" t="s">
        <v>188</v>
      </c>
      <c r="V105" s="78">
        <v>7.0</v>
      </c>
      <c r="W105" s="78">
        <v>43.0</v>
      </c>
      <c r="Z105" s="88" t="str">
        <f t="shared" si="11"/>
        <v>W01 - Lu</v>
      </c>
      <c r="AA105" s="13">
        <f t="shared" si="12"/>
        <v>105</v>
      </c>
    </row>
    <row r="106">
      <c r="I106" s="98" t="s">
        <v>189</v>
      </c>
      <c r="J106" s="99">
        <f>SUM(J99:J105)</f>
        <v>15</v>
      </c>
      <c r="K106" s="99"/>
      <c r="T106" s="89" t="s">
        <v>172</v>
      </c>
      <c r="U106" s="78" t="s">
        <v>190</v>
      </c>
      <c r="V106" s="78">
        <v>12.0</v>
      </c>
      <c r="W106" s="78">
        <v>43.0</v>
      </c>
      <c r="Z106" s="88" t="str">
        <f t="shared" si="11"/>
        <v>W01 - Lu</v>
      </c>
      <c r="AA106" s="13">
        <f t="shared" si="12"/>
        <v>106</v>
      </c>
    </row>
    <row r="107">
      <c r="K107" s="11"/>
      <c r="M107" s="100">
        <v>31.80666667</v>
      </c>
      <c r="N107" s="101">
        <v>15.90333333</v>
      </c>
      <c r="T107" s="89" t="s">
        <v>172</v>
      </c>
      <c r="U107" s="78" t="s">
        <v>191</v>
      </c>
      <c r="V107" s="78">
        <v>18.0</v>
      </c>
      <c r="W107" s="78">
        <v>43.0</v>
      </c>
      <c r="Z107" s="88" t="str">
        <f t="shared" si="11"/>
        <v>W01 - Lu</v>
      </c>
      <c r="AA107" s="13">
        <f t="shared" si="12"/>
        <v>107</v>
      </c>
    </row>
    <row r="108">
      <c r="E108" s="102" t="s">
        <v>192</v>
      </c>
      <c r="F108" s="102" t="s">
        <v>91</v>
      </c>
      <c r="G108" s="102" t="s">
        <v>193</v>
      </c>
      <c r="H108" s="102" t="s">
        <v>194</v>
      </c>
      <c r="I108" s="11"/>
      <c r="J108" s="78" t="s">
        <v>195</v>
      </c>
      <c r="K108" s="78" t="s">
        <v>196</v>
      </c>
      <c r="L108" s="78" t="s">
        <v>197</v>
      </c>
      <c r="M108" s="78" t="s">
        <v>189</v>
      </c>
      <c r="N108" s="78" t="s">
        <v>198</v>
      </c>
      <c r="O108" s="78" t="s">
        <v>199</v>
      </c>
      <c r="P108" s="103" t="s">
        <v>200</v>
      </c>
      <c r="R108" s="78" t="s">
        <v>201</v>
      </c>
      <c r="S108" s="78" t="s">
        <v>202</v>
      </c>
      <c r="T108" s="89" t="s">
        <v>172</v>
      </c>
      <c r="U108" s="78" t="s">
        <v>203</v>
      </c>
      <c r="V108" s="78">
        <v>10.0</v>
      </c>
      <c r="W108" s="78">
        <v>43.0</v>
      </c>
      <c r="Z108" s="88" t="str">
        <f t="shared" si="11"/>
        <v>W01 - Lu</v>
      </c>
      <c r="AA108" s="13">
        <f t="shared" si="12"/>
        <v>108</v>
      </c>
    </row>
    <row r="109">
      <c r="E109" s="104" t="s">
        <v>204</v>
      </c>
      <c r="F109" s="105" t="s">
        <v>205</v>
      </c>
      <c r="G109" s="106">
        <f>X444/60</f>
        <v>0.8333333333</v>
      </c>
      <c r="H109" s="107">
        <v>0.4166666667</v>
      </c>
      <c r="I109" s="90" t="s">
        <v>174</v>
      </c>
      <c r="J109" s="108">
        <f>S109</f>
        <v>2.233333333</v>
      </c>
      <c r="K109" s="109"/>
      <c r="L109" s="110" t="s">
        <v>206</v>
      </c>
      <c r="M109" s="111">
        <v>26.95</v>
      </c>
      <c r="N109" s="111">
        <v>13.475</v>
      </c>
      <c r="O109" s="112">
        <f t="shared" ref="O109:O115" si="13">MINIFS($AA$95:$AA$441,$Z$95:$Z$441,CONCATENATE(L$109," - ",Q109))</f>
        <v>98</v>
      </c>
      <c r="P109" s="113">
        <f t="shared" ref="P109:P115" si="14">MAXIFS($AA$95:$AA$441,$Z$95:$Z$441,CONCATENATE(L$109," - ",Q109))</f>
        <v>114</v>
      </c>
      <c r="Q109" s="114" t="s">
        <v>174</v>
      </c>
      <c r="R109" s="108">
        <f t="shared" ref="R109:R178" si="15">IF(P109=0,0,SUM(INDIRECT("V"&amp;O109&amp;":V"&amp;P109))/60)</f>
        <v>4.466666667</v>
      </c>
      <c r="S109" s="115">
        <v>2.233333333</v>
      </c>
      <c r="T109" s="89" t="s">
        <v>172</v>
      </c>
      <c r="U109" s="78" t="s">
        <v>207</v>
      </c>
      <c r="V109" s="78">
        <v>25.0</v>
      </c>
      <c r="W109" s="78">
        <v>43.0</v>
      </c>
      <c r="Z109" s="88" t="str">
        <f t="shared" si="11"/>
        <v>W01 - Lu</v>
      </c>
      <c r="AA109" s="13">
        <f t="shared" si="12"/>
        <v>109</v>
      </c>
    </row>
    <row r="110">
      <c r="E110" s="72"/>
      <c r="F110" s="116" t="s">
        <v>208</v>
      </c>
      <c r="G110" s="117">
        <f>X448/60</f>
        <v>2.283333333</v>
      </c>
      <c r="H110" s="118">
        <v>1.141666667</v>
      </c>
      <c r="I110" s="92" t="s">
        <v>176</v>
      </c>
      <c r="J110" s="94">
        <v>3.558333333</v>
      </c>
      <c r="K110" s="119"/>
      <c r="L110" s="120"/>
      <c r="O110" s="121">
        <f t="shared" si="13"/>
        <v>116</v>
      </c>
      <c r="P110" s="122">
        <f t="shared" si="14"/>
        <v>120</v>
      </c>
      <c r="Q110" s="56" t="s">
        <v>176</v>
      </c>
      <c r="R110" s="94">
        <f t="shared" si="15"/>
        <v>2.65</v>
      </c>
      <c r="S110" s="123">
        <v>1.325</v>
      </c>
      <c r="T110" s="89" t="s">
        <v>172</v>
      </c>
      <c r="U110" s="78" t="s">
        <v>209</v>
      </c>
      <c r="V110" s="78">
        <v>11.0</v>
      </c>
      <c r="W110" s="78">
        <v>43.0</v>
      </c>
      <c r="Z110" s="88" t="str">
        <f t="shared" si="11"/>
        <v>W01 - Lu</v>
      </c>
      <c r="AA110" s="13">
        <f t="shared" si="12"/>
        <v>110</v>
      </c>
    </row>
    <row r="111">
      <c r="E111" s="72"/>
      <c r="F111" s="116" t="s">
        <v>210</v>
      </c>
      <c r="G111" s="117">
        <f>X451/60</f>
        <v>11.58333333</v>
      </c>
      <c r="H111" s="118">
        <v>5.791666667</v>
      </c>
      <c r="I111" s="92" t="s">
        <v>178</v>
      </c>
      <c r="J111" s="94">
        <v>5.75</v>
      </c>
      <c r="K111" s="119"/>
      <c r="L111" s="120"/>
      <c r="O111" s="121">
        <f t="shared" si="13"/>
        <v>121</v>
      </c>
      <c r="P111" s="122">
        <f t="shared" si="14"/>
        <v>125</v>
      </c>
      <c r="Q111" s="56" t="s">
        <v>178</v>
      </c>
      <c r="R111" s="94">
        <f t="shared" si="15"/>
        <v>4.383333333</v>
      </c>
      <c r="S111" s="123">
        <v>2.191666667</v>
      </c>
      <c r="T111" s="89" t="s">
        <v>172</v>
      </c>
      <c r="U111" s="78" t="s">
        <v>211</v>
      </c>
      <c r="V111" s="78">
        <v>10.0</v>
      </c>
      <c r="W111" s="78">
        <v>43.0</v>
      </c>
      <c r="Z111" s="88" t="str">
        <f t="shared" si="11"/>
        <v>W01 - Lu</v>
      </c>
      <c r="AA111" s="13">
        <f t="shared" si="12"/>
        <v>111</v>
      </c>
    </row>
    <row r="112">
      <c r="E112" s="72"/>
      <c r="F112" s="116" t="s">
        <v>212</v>
      </c>
      <c r="G112" s="117">
        <f>X468/60</f>
        <v>13.13333333</v>
      </c>
      <c r="H112" s="118">
        <v>6.566666667</v>
      </c>
      <c r="I112" s="92" t="s">
        <v>180</v>
      </c>
      <c r="J112" s="94">
        <v>8</v>
      </c>
      <c r="K112" s="119"/>
      <c r="L112" s="120"/>
      <c r="O112" s="121">
        <f t="shared" si="13"/>
        <v>126</v>
      </c>
      <c r="P112" s="122">
        <f t="shared" si="14"/>
        <v>132</v>
      </c>
      <c r="Q112" s="56" t="s">
        <v>180</v>
      </c>
      <c r="R112" s="94">
        <f t="shared" si="15"/>
        <v>4.5</v>
      </c>
      <c r="S112" s="123">
        <v>2.25</v>
      </c>
      <c r="T112" s="89" t="s">
        <v>172</v>
      </c>
      <c r="U112" s="78" t="s">
        <v>213</v>
      </c>
      <c r="V112" s="78">
        <v>3.0</v>
      </c>
      <c r="W112" s="78">
        <v>43.0</v>
      </c>
      <c r="Z112" s="88" t="str">
        <f t="shared" si="11"/>
        <v>W01 - Lu</v>
      </c>
      <c r="AA112" s="13">
        <f t="shared" si="12"/>
        <v>112</v>
      </c>
    </row>
    <row r="113">
      <c r="E113" s="72"/>
      <c r="F113" s="116" t="s">
        <v>214</v>
      </c>
      <c r="G113" s="117">
        <f>X497/60</f>
        <v>34.2</v>
      </c>
      <c r="H113" s="118">
        <v>17.1</v>
      </c>
      <c r="I113" s="92" t="s">
        <v>182</v>
      </c>
      <c r="J113" s="94">
        <v>10.74166667</v>
      </c>
      <c r="K113" s="119"/>
      <c r="L113" s="120"/>
      <c r="O113" s="121">
        <f t="shared" si="13"/>
        <v>133</v>
      </c>
      <c r="P113" s="122">
        <f t="shared" si="14"/>
        <v>141</v>
      </c>
      <c r="Q113" s="56" t="s">
        <v>182</v>
      </c>
      <c r="R113" s="94">
        <f t="shared" si="15"/>
        <v>5.483333333</v>
      </c>
      <c r="S113" s="123">
        <v>2.741666667</v>
      </c>
      <c r="T113" s="89" t="s">
        <v>172</v>
      </c>
      <c r="U113" s="78" t="s">
        <v>215</v>
      </c>
      <c r="V113" s="78">
        <v>7.0</v>
      </c>
      <c r="W113" s="78">
        <v>43.0</v>
      </c>
      <c r="Z113" s="88" t="str">
        <f t="shared" si="11"/>
        <v>W01 - Lu</v>
      </c>
      <c r="AA113" s="13">
        <f t="shared" si="12"/>
        <v>113</v>
      </c>
    </row>
    <row r="114">
      <c r="E114" s="72"/>
      <c r="F114" s="116" t="s">
        <v>216</v>
      </c>
      <c r="G114" s="117">
        <f>X549/60</f>
        <v>18.03333333</v>
      </c>
      <c r="H114" s="118">
        <v>9.016666667</v>
      </c>
      <c r="I114" s="92" t="s">
        <v>184</v>
      </c>
      <c r="J114" s="94">
        <v>11.425</v>
      </c>
      <c r="K114" s="119"/>
      <c r="L114" s="120"/>
      <c r="O114" s="121">
        <f t="shared" si="13"/>
        <v>142</v>
      </c>
      <c r="P114" s="122">
        <f t="shared" si="14"/>
        <v>143</v>
      </c>
      <c r="Q114" s="56" t="s">
        <v>184</v>
      </c>
      <c r="R114" s="94">
        <f t="shared" si="15"/>
        <v>1.366666667</v>
      </c>
      <c r="S114" s="123">
        <v>0.6833333333</v>
      </c>
      <c r="T114" s="89" t="s">
        <v>172</v>
      </c>
      <c r="U114" s="78" t="s">
        <v>217</v>
      </c>
      <c r="V114" s="78">
        <v>4.0</v>
      </c>
      <c r="W114" s="78">
        <v>43.0</v>
      </c>
      <c r="Z114" s="88" t="str">
        <f t="shared" si="11"/>
        <v>W01 - Lu</v>
      </c>
      <c r="AA114" s="13">
        <f t="shared" si="12"/>
        <v>114</v>
      </c>
    </row>
    <row r="115">
      <c r="E115" s="72"/>
      <c r="F115" s="116" t="s">
        <v>218</v>
      </c>
      <c r="G115" s="117">
        <f>X589/60</f>
        <v>6.483333333</v>
      </c>
      <c r="H115" s="118">
        <v>3.241666667</v>
      </c>
      <c r="I115" s="92" t="s">
        <v>187</v>
      </c>
      <c r="J115" s="94">
        <v>13.475</v>
      </c>
      <c r="K115" s="119"/>
      <c r="L115" s="124"/>
      <c r="M115" s="125"/>
      <c r="N115" s="125"/>
      <c r="O115" s="126">
        <f t="shared" si="13"/>
        <v>144</v>
      </c>
      <c r="P115" s="127">
        <f t="shared" si="14"/>
        <v>151</v>
      </c>
      <c r="Q115" s="128" t="s">
        <v>187</v>
      </c>
      <c r="R115" s="129">
        <f t="shared" si="15"/>
        <v>4.1</v>
      </c>
      <c r="S115" s="130">
        <v>2.05</v>
      </c>
      <c r="T115" s="131"/>
      <c r="U115" s="11"/>
      <c r="V115" s="11"/>
      <c r="W115" s="95"/>
      <c r="Z115" s="88" t="str">
        <f t="shared" si="11"/>
        <v> - </v>
      </c>
      <c r="AA115" s="13">
        <f t="shared" si="12"/>
        <v>115</v>
      </c>
    </row>
    <row r="116">
      <c r="E116" s="72"/>
      <c r="F116" s="116" t="s">
        <v>219</v>
      </c>
      <c r="G116" s="117">
        <f>X596/60</f>
        <v>4.9</v>
      </c>
      <c r="H116" s="118">
        <v>2.45</v>
      </c>
      <c r="I116" s="90" t="s">
        <v>174</v>
      </c>
      <c r="J116" s="108">
        <f>S116</f>
        <v>2.583333333</v>
      </c>
      <c r="K116" s="115">
        <f t="shared" ref="K116:K122" si="16">J116-J109</f>
        <v>0.35</v>
      </c>
      <c r="L116" s="110" t="s">
        <v>220</v>
      </c>
      <c r="M116" s="111">
        <v>34.55</v>
      </c>
      <c r="N116" s="111">
        <v>17.275</v>
      </c>
      <c r="O116" s="112">
        <f t="shared" ref="O116:O122" si="17">MINIFS($AA$95:$AA$441,$Z$95:$Z$441,CONCATENATE(L$116," - ",Q116))</f>
        <v>152</v>
      </c>
      <c r="P116" s="113">
        <f t="shared" ref="P116:P122" si="18">MAXIFS($AA$95:$AA$441,$Z$95:$Z$441,CONCATENATE(L$116," - ",Q116))</f>
        <v>167</v>
      </c>
      <c r="Q116" s="114" t="s">
        <v>174</v>
      </c>
      <c r="R116" s="108">
        <f t="shared" si="15"/>
        <v>5.166666667</v>
      </c>
      <c r="S116" s="115">
        <v>2.583333333</v>
      </c>
      <c r="T116" s="89" t="s">
        <v>221</v>
      </c>
      <c r="U116" s="78" t="s">
        <v>222</v>
      </c>
      <c r="V116" s="78">
        <v>55.0</v>
      </c>
      <c r="W116" s="78">
        <v>43.0</v>
      </c>
      <c r="X116" s="78" t="s">
        <v>130</v>
      </c>
      <c r="Z116" s="88" t="str">
        <f t="shared" si="11"/>
        <v>W01 - Ma</v>
      </c>
      <c r="AA116" s="13">
        <f t="shared" si="12"/>
        <v>116</v>
      </c>
    </row>
    <row r="117">
      <c r="E117" s="75"/>
      <c r="F117" s="132" t="s">
        <v>223</v>
      </c>
      <c r="G117" s="133">
        <f>X601/60</f>
        <v>6.716666667</v>
      </c>
      <c r="H117" s="134">
        <v>3.358333333</v>
      </c>
      <c r="I117" s="92" t="s">
        <v>176</v>
      </c>
      <c r="J117" s="94">
        <v>3.2</v>
      </c>
      <c r="K117" s="123">
        <f t="shared" si="16"/>
        <v>-0.3583333333</v>
      </c>
      <c r="L117" s="120"/>
      <c r="O117" s="121">
        <f t="shared" si="17"/>
        <v>168</v>
      </c>
      <c r="P117" s="122">
        <f t="shared" si="18"/>
        <v>171</v>
      </c>
      <c r="Q117" s="56" t="s">
        <v>176</v>
      </c>
      <c r="R117" s="94">
        <f t="shared" si="15"/>
        <v>1.233333333</v>
      </c>
      <c r="S117" s="123">
        <v>0.6166666667</v>
      </c>
      <c r="T117" s="89" t="s">
        <v>221</v>
      </c>
      <c r="U117" s="78" t="s">
        <v>222</v>
      </c>
      <c r="V117" s="78">
        <v>45.0</v>
      </c>
      <c r="W117" s="78">
        <v>44.0</v>
      </c>
      <c r="X117" s="11">
        <f>SUM(V116:V117)</f>
        <v>100</v>
      </c>
      <c r="Z117" s="88" t="str">
        <f t="shared" si="11"/>
        <v>W01 - Ma</v>
      </c>
      <c r="AA117" s="13">
        <f t="shared" si="12"/>
        <v>117</v>
      </c>
    </row>
    <row r="118">
      <c r="F118" s="102" t="s">
        <v>224</v>
      </c>
      <c r="G118" s="135">
        <f t="shared" ref="G118:H118" si="19">SUM(G109:G117)</f>
        <v>98.16666667</v>
      </c>
      <c r="H118" s="135">
        <f t="shared" si="19"/>
        <v>49.08333333</v>
      </c>
      <c r="I118" s="92" t="s">
        <v>178</v>
      </c>
      <c r="J118" s="94">
        <v>5.216666667</v>
      </c>
      <c r="K118" s="123">
        <f t="shared" si="16"/>
        <v>-0.5333333333</v>
      </c>
      <c r="L118" s="120"/>
      <c r="O118" s="121">
        <f t="shared" si="17"/>
        <v>172</v>
      </c>
      <c r="P118" s="122">
        <f t="shared" si="18"/>
        <v>180</v>
      </c>
      <c r="Q118" s="56" t="s">
        <v>178</v>
      </c>
      <c r="R118" s="94">
        <f t="shared" si="15"/>
        <v>4.033333333</v>
      </c>
      <c r="S118" s="123">
        <v>2.016666667</v>
      </c>
      <c r="T118" s="131"/>
      <c r="U118" s="11"/>
      <c r="V118" s="11"/>
      <c r="W118" s="11"/>
      <c r="X118" s="94">
        <f>X117/60</f>
        <v>1.666666667</v>
      </c>
      <c r="Z118" s="88" t="str">
        <f t="shared" si="11"/>
        <v> - </v>
      </c>
      <c r="AA118" s="13">
        <f t="shared" si="12"/>
        <v>118</v>
      </c>
    </row>
    <row r="119">
      <c r="I119" s="92" t="s">
        <v>180</v>
      </c>
      <c r="J119" s="94">
        <v>9.625</v>
      </c>
      <c r="K119" s="123">
        <f t="shared" si="16"/>
        <v>1.625</v>
      </c>
      <c r="L119" s="120"/>
      <c r="O119" s="121">
        <f t="shared" si="17"/>
        <v>181</v>
      </c>
      <c r="P119" s="122">
        <f t="shared" si="18"/>
        <v>199</v>
      </c>
      <c r="Q119" s="56" t="s">
        <v>180</v>
      </c>
      <c r="R119" s="94">
        <f t="shared" si="15"/>
        <v>8.816666667</v>
      </c>
      <c r="S119" s="123">
        <v>4.408333333</v>
      </c>
      <c r="T119" s="89" t="s">
        <v>221</v>
      </c>
      <c r="U119" s="78" t="s">
        <v>225</v>
      </c>
      <c r="V119" s="78">
        <v>9.0</v>
      </c>
      <c r="W119" s="78">
        <v>44.0</v>
      </c>
      <c r="X119" s="78" t="s">
        <v>130</v>
      </c>
      <c r="Z119" s="88" t="str">
        <f t="shared" si="11"/>
        <v>W01 - Ma</v>
      </c>
      <c r="AA119" s="13">
        <f t="shared" si="12"/>
        <v>119</v>
      </c>
    </row>
    <row r="120">
      <c r="E120" s="104" t="s">
        <v>226</v>
      </c>
      <c r="F120" s="105" t="s">
        <v>227</v>
      </c>
      <c r="G120" s="106">
        <f>X614</f>
        <v>15.78333333</v>
      </c>
      <c r="H120" s="107">
        <v>7.891666667</v>
      </c>
      <c r="I120" s="92" t="s">
        <v>182</v>
      </c>
      <c r="J120" s="94">
        <v>12.35</v>
      </c>
      <c r="K120" s="123">
        <f t="shared" si="16"/>
        <v>1.608333333</v>
      </c>
      <c r="L120" s="120"/>
      <c r="O120" s="121">
        <f t="shared" si="17"/>
        <v>200</v>
      </c>
      <c r="P120" s="122">
        <f t="shared" si="18"/>
        <v>213</v>
      </c>
      <c r="Q120" s="56" t="s">
        <v>182</v>
      </c>
      <c r="R120" s="94">
        <f t="shared" si="15"/>
        <v>5.45</v>
      </c>
      <c r="S120" s="123">
        <v>2.725</v>
      </c>
      <c r="T120" s="89" t="s">
        <v>221</v>
      </c>
      <c r="U120" s="78" t="s">
        <v>228</v>
      </c>
      <c r="V120" s="78">
        <v>50.0</v>
      </c>
      <c r="W120" s="78">
        <v>44.0</v>
      </c>
      <c r="X120" s="11">
        <f>SUM(V119:V123)</f>
        <v>282</v>
      </c>
      <c r="Z120" s="88" t="str">
        <f t="shared" si="11"/>
        <v>W01 - Ma</v>
      </c>
      <c r="AA120" s="13">
        <f t="shared" si="12"/>
        <v>120</v>
      </c>
    </row>
    <row r="121">
      <c r="E121" s="72"/>
      <c r="F121" s="116" t="s">
        <v>229</v>
      </c>
      <c r="G121" s="117">
        <f>X650</f>
        <v>42.05</v>
      </c>
      <c r="H121" s="118">
        <v>21.025</v>
      </c>
      <c r="I121" s="92" t="s">
        <v>184</v>
      </c>
      <c r="J121" s="94">
        <v>15.01666667</v>
      </c>
      <c r="K121" s="123">
        <f t="shared" si="16"/>
        <v>3.591666667</v>
      </c>
      <c r="L121" s="120"/>
      <c r="O121" s="121">
        <f t="shared" si="17"/>
        <v>214</v>
      </c>
      <c r="P121" s="122">
        <f t="shared" si="18"/>
        <v>229</v>
      </c>
      <c r="Q121" s="56" t="s">
        <v>184</v>
      </c>
      <c r="R121" s="94">
        <f t="shared" si="15"/>
        <v>5.333333333</v>
      </c>
      <c r="S121" s="123">
        <v>2.666666667</v>
      </c>
      <c r="T121" s="89" t="s">
        <v>230</v>
      </c>
      <c r="U121" s="78" t="s">
        <v>231</v>
      </c>
      <c r="V121" s="78">
        <v>83.0</v>
      </c>
      <c r="W121" s="78">
        <v>45.0</v>
      </c>
      <c r="X121" s="94">
        <f>X120/60</f>
        <v>4.7</v>
      </c>
      <c r="Z121" s="88" t="str">
        <f t="shared" si="11"/>
        <v>W01 - Mi</v>
      </c>
      <c r="AA121" s="13">
        <f t="shared" si="12"/>
        <v>121</v>
      </c>
    </row>
    <row r="122">
      <c r="E122" s="72"/>
      <c r="F122" s="116" t="s">
        <v>232</v>
      </c>
      <c r="G122" s="117">
        <v>28.58333333</v>
      </c>
      <c r="H122" s="118">
        <v>14.29166667</v>
      </c>
      <c r="I122" s="96" t="s">
        <v>187</v>
      </c>
      <c r="J122" s="129">
        <v>17.275</v>
      </c>
      <c r="K122" s="130">
        <f t="shared" si="16"/>
        <v>3.8</v>
      </c>
      <c r="L122" s="124"/>
      <c r="M122" s="125"/>
      <c r="N122" s="125"/>
      <c r="O122" s="126">
        <f t="shared" si="17"/>
        <v>274</v>
      </c>
      <c r="P122" s="127">
        <f t="shared" si="18"/>
        <v>281</v>
      </c>
      <c r="Q122" s="128" t="s">
        <v>187</v>
      </c>
      <c r="R122" s="129">
        <f t="shared" si="15"/>
        <v>4.516666667</v>
      </c>
      <c r="S122" s="130">
        <v>2.258333333</v>
      </c>
      <c r="T122" s="89" t="s">
        <v>230</v>
      </c>
      <c r="U122" s="78" t="s">
        <v>233</v>
      </c>
      <c r="V122" s="78">
        <v>50.0</v>
      </c>
      <c r="W122" s="78">
        <v>45.0</v>
      </c>
      <c r="Z122" s="88" t="str">
        <f t="shared" si="11"/>
        <v>W01 - Mi</v>
      </c>
      <c r="AA122" s="13">
        <f t="shared" si="12"/>
        <v>122</v>
      </c>
    </row>
    <row r="123">
      <c r="E123" s="72"/>
      <c r="F123" s="116" t="s">
        <v>234</v>
      </c>
      <c r="G123" s="117">
        <f>X104</f>
        <v>2.35</v>
      </c>
      <c r="H123" s="118">
        <v>1.175</v>
      </c>
      <c r="I123" s="90" t="s">
        <v>174</v>
      </c>
      <c r="J123" s="108">
        <f>S123</f>
        <v>3.033333333</v>
      </c>
      <c r="K123" s="115">
        <f>J123-$K$99</f>
        <v>1.033333333</v>
      </c>
      <c r="L123" s="110" t="s">
        <v>235</v>
      </c>
      <c r="M123" s="111">
        <v>43.85</v>
      </c>
      <c r="N123" s="111">
        <v>21.925</v>
      </c>
      <c r="O123" s="112">
        <f t="shared" ref="O123:O129" si="20">MINIFS($AA$95:$AA$441,$Z$95:$Z$441,CONCATENATE(L$123," - ",Q123))</f>
        <v>282</v>
      </c>
      <c r="P123" s="113">
        <f t="shared" ref="P123:P129" si="21">MAXIFS($AA$95:$AA$441,$Z$95:$Z$441,CONCATENATE(L$123," - ",Q123))</f>
        <v>289</v>
      </c>
      <c r="Q123" s="114" t="s">
        <v>174</v>
      </c>
      <c r="R123" s="108">
        <f t="shared" si="15"/>
        <v>6.066666667</v>
      </c>
      <c r="S123" s="115">
        <v>3.033333333</v>
      </c>
      <c r="T123" s="89" t="s">
        <v>230</v>
      </c>
      <c r="U123" s="78" t="s">
        <v>236</v>
      </c>
      <c r="V123" s="78">
        <v>90.0</v>
      </c>
      <c r="W123" s="78">
        <v>45.0</v>
      </c>
      <c r="Z123" s="88" t="str">
        <f t="shared" si="11"/>
        <v>W01 - Mi</v>
      </c>
      <c r="AA123" s="13">
        <f t="shared" si="12"/>
        <v>123</v>
      </c>
    </row>
    <row r="124">
      <c r="E124" s="75"/>
      <c r="F124" s="132" t="s">
        <v>237</v>
      </c>
      <c r="G124" s="133">
        <f>X118</f>
        <v>1.666666667</v>
      </c>
      <c r="H124" s="134">
        <v>0.8333333333</v>
      </c>
      <c r="I124" s="92" t="s">
        <v>176</v>
      </c>
      <c r="J124" s="94">
        <v>5.925</v>
      </c>
      <c r="K124" s="123">
        <f>J124-$K$100</f>
        <v>2.425</v>
      </c>
      <c r="L124" s="120"/>
      <c r="O124" s="121">
        <f t="shared" si="20"/>
        <v>291</v>
      </c>
      <c r="P124" s="122">
        <f t="shared" si="21"/>
        <v>300</v>
      </c>
      <c r="Q124" s="56" t="s">
        <v>176</v>
      </c>
      <c r="R124" s="94">
        <f t="shared" si="15"/>
        <v>5.783333333</v>
      </c>
      <c r="S124" s="123">
        <v>2.891666667</v>
      </c>
      <c r="T124" s="131"/>
      <c r="U124" s="11"/>
      <c r="V124" s="95"/>
      <c r="W124" s="11"/>
      <c r="Z124" s="88" t="str">
        <f t="shared" si="11"/>
        <v> - </v>
      </c>
      <c r="AA124" s="13">
        <f t="shared" si="12"/>
        <v>124</v>
      </c>
    </row>
    <row r="125">
      <c r="F125" s="102" t="s">
        <v>224</v>
      </c>
      <c r="G125" s="135">
        <f t="shared" ref="G125:H125" si="22">SUM(G120:G124)</f>
        <v>90.43333333</v>
      </c>
      <c r="H125" s="135">
        <f t="shared" si="22"/>
        <v>45.21666667</v>
      </c>
      <c r="I125" s="92" t="s">
        <v>178</v>
      </c>
      <c r="J125" s="94">
        <v>8.366666667</v>
      </c>
      <c r="K125" s="123">
        <f>J125-$K$101</f>
        <v>2.866666667</v>
      </c>
      <c r="L125" s="120"/>
      <c r="O125" s="121">
        <f t="shared" si="20"/>
        <v>301</v>
      </c>
      <c r="P125" s="122">
        <f t="shared" si="21"/>
        <v>314</v>
      </c>
      <c r="Q125" s="56" t="s">
        <v>178</v>
      </c>
      <c r="R125" s="94">
        <f t="shared" si="15"/>
        <v>4.883333333</v>
      </c>
      <c r="S125" s="123">
        <v>2.441666667</v>
      </c>
      <c r="T125" s="89" t="s">
        <v>230</v>
      </c>
      <c r="U125" s="78" t="s">
        <v>238</v>
      </c>
      <c r="V125" s="78">
        <v>40.0</v>
      </c>
      <c r="W125" s="78">
        <v>45.0</v>
      </c>
      <c r="Z125" s="88" t="str">
        <f t="shared" si="11"/>
        <v>W01 - Mi</v>
      </c>
      <c r="AA125" s="13">
        <f t="shared" si="12"/>
        <v>125</v>
      </c>
    </row>
    <row r="126">
      <c r="I126" s="92" t="s">
        <v>180</v>
      </c>
      <c r="J126" s="94">
        <v>13.48333333</v>
      </c>
      <c r="K126" s="123">
        <f>J126-$K$102</f>
        <v>5.983333333</v>
      </c>
      <c r="L126" s="120"/>
      <c r="O126" s="121">
        <f t="shared" si="20"/>
        <v>315</v>
      </c>
      <c r="P126" s="122">
        <f t="shared" si="21"/>
        <v>332</v>
      </c>
      <c r="Q126" s="56" t="s">
        <v>180</v>
      </c>
      <c r="R126" s="94">
        <f t="shared" si="15"/>
        <v>10.23333333</v>
      </c>
      <c r="S126" s="123">
        <v>5.116666667</v>
      </c>
      <c r="T126" s="89" t="s">
        <v>239</v>
      </c>
      <c r="U126" s="78" t="s">
        <v>240</v>
      </c>
      <c r="V126" s="78">
        <v>32.0</v>
      </c>
      <c r="W126" s="78">
        <v>45.0</v>
      </c>
      <c r="Z126" s="88" t="str">
        <f t="shared" si="11"/>
        <v>W01 - Ju</v>
      </c>
      <c r="AA126" s="13">
        <f t="shared" si="12"/>
        <v>126</v>
      </c>
    </row>
    <row r="127">
      <c r="E127" s="104" t="s">
        <v>241</v>
      </c>
      <c r="F127" s="136" t="s">
        <v>242</v>
      </c>
      <c r="G127" s="106">
        <f>X759</f>
        <v>7.05</v>
      </c>
      <c r="H127" s="107">
        <v>3.525</v>
      </c>
      <c r="I127" s="92" t="s">
        <v>182</v>
      </c>
      <c r="J127" s="94">
        <v>15.58333333</v>
      </c>
      <c r="K127" s="123">
        <f>J127-$K$103</f>
        <v>5.583333333</v>
      </c>
      <c r="L127" s="120"/>
      <c r="O127" s="121">
        <f t="shared" si="20"/>
        <v>333</v>
      </c>
      <c r="P127" s="122">
        <f t="shared" si="21"/>
        <v>338</v>
      </c>
      <c r="Q127" s="56" t="s">
        <v>182</v>
      </c>
      <c r="R127" s="94">
        <f t="shared" si="15"/>
        <v>4.2</v>
      </c>
      <c r="S127" s="123">
        <v>2.1</v>
      </c>
      <c r="T127" s="89" t="s">
        <v>239</v>
      </c>
      <c r="U127" s="78" t="s">
        <v>243</v>
      </c>
      <c r="V127" s="78">
        <v>35.0</v>
      </c>
      <c r="W127" s="78">
        <v>46.0</v>
      </c>
      <c r="Z127" s="88" t="str">
        <f t="shared" si="11"/>
        <v>W01 - Ju</v>
      </c>
      <c r="AA127" s="13">
        <f t="shared" si="12"/>
        <v>127</v>
      </c>
    </row>
    <row r="128">
      <c r="E128" s="72"/>
      <c r="F128" s="78" t="s">
        <v>244</v>
      </c>
      <c r="G128" s="117">
        <f>X121</f>
        <v>4.7</v>
      </c>
      <c r="H128" s="118">
        <v>2.35</v>
      </c>
      <c r="I128" s="92" t="s">
        <v>184</v>
      </c>
      <c r="J128" s="94">
        <v>19.40833333</v>
      </c>
      <c r="K128" s="123">
        <f>J128-$K$104</f>
        <v>6.908333333</v>
      </c>
      <c r="L128" s="120"/>
      <c r="O128" s="121">
        <f t="shared" si="20"/>
        <v>339</v>
      </c>
      <c r="P128" s="122">
        <f t="shared" si="21"/>
        <v>347</v>
      </c>
      <c r="Q128" s="56" t="s">
        <v>184</v>
      </c>
      <c r="R128" s="94">
        <f t="shared" si="15"/>
        <v>7.65</v>
      </c>
      <c r="S128" s="123">
        <v>3.825</v>
      </c>
      <c r="T128" s="89" t="s">
        <v>239</v>
      </c>
      <c r="U128" s="78" t="s">
        <v>245</v>
      </c>
      <c r="V128" s="78">
        <v>25.0</v>
      </c>
      <c r="W128" s="78">
        <v>46.0</v>
      </c>
      <c r="Z128" s="88" t="str">
        <f t="shared" si="11"/>
        <v>W01 - Ju</v>
      </c>
      <c r="AA128" s="13">
        <f t="shared" si="12"/>
        <v>128</v>
      </c>
    </row>
    <row r="129">
      <c r="E129" s="72"/>
      <c r="F129" s="78" t="s">
        <v>246</v>
      </c>
      <c r="G129" s="117">
        <v>29.1</v>
      </c>
      <c r="H129" s="118">
        <v>14.55</v>
      </c>
      <c r="I129" s="96" t="s">
        <v>187</v>
      </c>
      <c r="J129" s="129">
        <v>21.925</v>
      </c>
      <c r="K129" s="130">
        <f>J129-$K$105</f>
        <v>6.925</v>
      </c>
      <c r="L129" s="124"/>
      <c r="M129" s="125"/>
      <c r="N129" s="125"/>
      <c r="O129" s="126">
        <f t="shared" si="20"/>
        <v>348</v>
      </c>
      <c r="P129" s="127">
        <f t="shared" si="21"/>
        <v>352</v>
      </c>
      <c r="Q129" s="128" t="s">
        <v>187</v>
      </c>
      <c r="R129" s="129">
        <f t="shared" si="15"/>
        <v>5.033333333</v>
      </c>
      <c r="S129" s="130">
        <v>2.516666667</v>
      </c>
      <c r="T129" s="89" t="s">
        <v>239</v>
      </c>
      <c r="U129" s="78" t="s">
        <v>247</v>
      </c>
      <c r="V129" s="78">
        <v>45.0</v>
      </c>
      <c r="W129" s="78">
        <v>46.0</v>
      </c>
      <c r="Z129" s="88" t="str">
        <f t="shared" si="11"/>
        <v>W01 - Ju</v>
      </c>
      <c r="AA129" s="13">
        <f t="shared" si="12"/>
        <v>129</v>
      </c>
    </row>
    <row r="130">
      <c r="E130" s="72"/>
      <c r="F130" s="78" t="s">
        <v>248</v>
      </c>
      <c r="G130" s="117">
        <v>10.85</v>
      </c>
      <c r="H130" s="118">
        <v>5.425</v>
      </c>
      <c r="I130" s="90" t="s">
        <v>174</v>
      </c>
      <c r="J130" s="108">
        <f>S130</f>
        <v>3.341666667</v>
      </c>
      <c r="K130" s="115">
        <f>J130-$K$99</f>
        <v>1.341666667</v>
      </c>
      <c r="L130" s="110" t="s">
        <v>249</v>
      </c>
      <c r="M130" s="111">
        <v>30.65</v>
      </c>
      <c r="N130" s="111">
        <v>15.325</v>
      </c>
      <c r="O130" s="112">
        <f t="shared" ref="O130:O136" si="23">MINIFS($AA$95:$AA$441,$Z$95:$Z$441,CONCATENATE(L$130," - ",Q130))</f>
        <v>353</v>
      </c>
      <c r="P130" s="113">
        <f t="shared" ref="P130:P136" si="24">MAXIFS($AA$95:$AA$441,$Z$95:$Z$441,CONCATENATE(L$130," - ",Q130))</f>
        <v>365</v>
      </c>
      <c r="Q130" s="114" t="s">
        <v>174</v>
      </c>
      <c r="R130" s="108">
        <f t="shared" si="15"/>
        <v>6.683333333</v>
      </c>
      <c r="S130" s="115">
        <v>3.341666667</v>
      </c>
      <c r="T130" s="89" t="s">
        <v>239</v>
      </c>
      <c r="U130" s="78" t="s">
        <v>250</v>
      </c>
      <c r="V130" s="78">
        <v>49.0</v>
      </c>
      <c r="W130" s="78">
        <v>46.0</v>
      </c>
      <c r="Z130" s="88" t="str">
        <f t="shared" si="11"/>
        <v>W01 - Ju</v>
      </c>
      <c r="AA130" s="13">
        <f t="shared" si="12"/>
        <v>130</v>
      </c>
    </row>
    <row r="131">
      <c r="E131" s="72"/>
      <c r="F131" s="78" t="s">
        <v>251</v>
      </c>
      <c r="G131" s="117">
        <v>5.05</v>
      </c>
      <c r="H131" s="118">
        <v>2.525</v>
      </c>
      <c r="I131" s="92" t="s">
        <v>176</v>
      </c>
      <c r="J131" s="94">
        <v>5.25</v>
      </c>
      <c r="K131" s="123">
        <f>J131-$K$100</f>
        <v>1.75</v>
      </c>
      <c r="L131" s="120"/>
      <c r="O131" s="121">
        <f t="shared" si="23"/>
        <v>366</v>
      </c>
      <c r="P131" s="122">
        <f t="shared" si="24"/>
        <v>376</v>
      </c>
      <c r="Q131" s="56" t="s">
        <v>176</v>
      </c>
      <c r="R131" s="94">
        <f t="shared" si="15"/>
        <v>3.816666667</v>
      </c>
      <c r="S131" s="123">
        <v>1.908333333</v>
      </c>
      <c r="T131" s="89" t="s">
        <v>239</v>
      </c>
      <c r="U131" s="78" t="s">
        <v>252</v>
      </c>
      <c r="V131" s="78">
        <v>39.0</v>
      </c>
      <c r="W131" s="78">
        <v>46.0</v>
      </c>
      <c r="Z131" s="88" t="str">
        <f t="shared" si="11"/>
        <v>W01 - Ju</v>
      </c>
      <c r="AA131" s="13">
        <f t="shared" si="12"/>
        <v>131</v>
      </c>
    </row>
    <row r="132">
      <c r="E132" s="75"/>
      <c r="F132" s="137" t="s">
        <v>253</v>
      </c>
      <c r="G132" s="133">
        <f>X229</f>
        <v>1.15</v>
      </c>
      <c r="H132" s="134">
        <v>0.575</v>
      </c>
      <c r="I132" s="92" t="s">
        <v>178</v>
      </c>
      <c r="J132" s="94">
        <v>7.85</v>
      </c>
      <c r="K132" s="123">
        <f>J132-$K$101</f>
        <v>2.35</v>
      </c>
      <c r="L132" s="120"/>
      <c r="O132" s="121">
        <f t="shared" si="23"/>
        <v>377</v>
      </c>
      <c r="P132" s="122">
        <f t="shared" si="24"/>
        <v>382</v>
      </c>
      <c r="Q132" s="56" t="s">
        <v>178</v>
      </c>
      <c r="R132" s="94">
        <f t="shared" si="15"/>
        <v>5.2</v>
      </c>
      <c r="S132" s="123">
        <v>2.6</v>
      </c>
      <c r="T132" s="89" t="s">
        <v>239</v>
      </c>
      <c r="U132" s="78" t="s">
        <v>254</v>
      </c>
      <c r="V132" s="78">
        <v>45.0</v>
      </c>
      <c r="W132" s="78">
        <v>46.0</v>
      </c>
      <c r="Z132" s="88" t="str">
        <f t="shared" si="11"/>
        <v>W01 - Ju</v>
      </c>
      <c r="AA132" s="13">
        <f t="shared" si="12"/>
        <v>132</v>
      </c>
    </row>
    <row r="133">
      <c r="F133" s="102" t="s">
        <v>224</v>
      </c>
      <c r="G133" s="135">
        <f t="shared" ref="G133:H133" si="25">SUM(G127:G132)</f>
        <v>57.9</v>
      </c>
      <c r="H133" s="135">
        <f t="shared" si="25"/>
        <v>28.95</v>
      </c>
      <c r="I133" s="92" t="s">
        <v>180</v>
      </c>
      <c r="J133" s="94">
        <v>10.25833333</v>
      </c>
      <c r="K133" s="123">
        <f>J133-$K$102</f>
        <v>2.758333333</v>
      </c>
      <c r="L133" s="120"/>
      <c r="O133" s="121">
        <f t="shared" si="23"/>
        <v>383</v>
      </c>
      <c r="P133" s="122">
        <f t="shared" si="24"/>
        <v>387</v>
      </c>
      <c r="Q133" s="56" t="s">
        <v>180</v>
      </c>
      <c r="R133" s="94">
        <f t="shared" si="15"/>
        <v>4.816666667</v>
      </c>
      <c r="S133" s="123">
        <v>2.408333333</v>
      </c>
      <c r="T133" s="89" t="s">
        <v>255</v>
      </c>
      <c r="U133" s="78" t="s">
        <v>256</v>
      </c>
      <c r="V133" s="78">
        <v>43.0</v>
      </c>
      <c r="W133" s="78">
        <v>46.0</v>
      </c>
      <c r="Z133" s="88" t="str">
        <f t="shared" si="11"/>
        <v>W01 - Vi</v>
      </c>
      <c r="AA133" s="13">
        <f t="shared" si="12"/>
        <v>133</v>
      </c>
    </row>
    <row r="134">
      <c r="I134" s="92" t="s">
        <v>182</v>
      </c>
      <c r="J134" s="94">
        <v>11.31666667</v>
      </c>
      <c r="K134" s="123">
        <f>J134-$K$103</f>
        <v>1.316666667</v>
      </c>
      <c r="L134" s="120"/>
      <c r="O134" s="121">
        <f t="shared" si="23"/>
        <v>388</v>
      </c>
      <c r="P134" s="122">
        <f t="shared" si="24"/>
        <v>392</v>
      </c>
      <c r="Q134" s="56" t="s">
        <v>182</v>
      </c>
      <c r="R134" s="94">
        <f t="shared" si="15"/>
        <v>2.116666667</v>
      </c>
      <c r="S134" s="123">
        <v>1.058333333</v>
      </c>
      <c r="T134" s="89" t="s">
        <v>255</v>
      </c>
      <c r="U134" s="78" t="s">
        <v>257</v>
      </c>
      <c r="V134" s="78">
        <v>43.0</v>
      </c>
      <c r="W134" s="78">
        <v>47.0</v>
      </c>
      <c r="Z134" s="88" t="str">
        <f t="shared" si="11"/>
        <v>W01 - Vi</v>
      </c>
      <c r="AA134" s="13">
        <f t="shared" si="12"/>
        <v>134</v>
      </c>
    </row>
    <row r="135">
      <c r="E135" s="138" t="s">
        <v>258</v>
      </c>
      <c r="F135" s="136" t="s">
        <v>259</v>
      </c>
      <c r="G135" s="106">
        <v>14.51666667</v>
      </c>
      <c r="H135" s="107">
        <v>7.258333333</v>
      </c>
      <c r="I135" s="92" t="s">
        <v>184</v>
      </c>
      <c r="J135" s="94">
        <v>11.53333333</v>
      </c>
      <c r="K135" s="123">
        <f>J135-$K$104</f>
        <v>-0.9666666667</v>
      </c>
      <c r="L135" s="120"/>
      <c r="O135" s="121">
        <f t="shared" si="23"/>
        <v>393</v>
      </c>
      <c r="P135" s="122">
        <f t="shared" si="24"/>
        <v>394</v>
      </c>
      <c r="Q135" s="56" t="s">
        <v>184</v>
      </c>
      <c r="R135" s="94">
        <f t="shared" si="15"/>
        <v>0.4333333333</v>
      </c>
      <c r="S135" s="123">
        <v>0.2166666667</v>
      </c>
      <c r="T135" s="89" t="s">
        <v>255</v>
      </c>
      <c r="U135" s="78" t="s">
        <v>260</v>
      </c>
      <c r="V135" s="78">
        <v>16.0</v>
      </c>
      <c r="W135" s="78">
        <v>47.0</v>
      </c>
      <c r="Z135" s="88" t="str">
        <f t="shared" si="11"/>
        <v>W01 - Vi</v>
      </c>
      <c r="AA135" s="13">
        <f t="shared" si="12"/>
        <v>135</v>
      </c>
    </row>
    <row r="136">
      <c r="E136" s="72"/>
      <c r="F136" s="78" t="s">
        <v>261</v>
      </c>
      <c r="G136" s="117">
        <f>X263</f>
        <v>2.783333333</v>
      </c>
      <c r="H136" s="118">
        <v>1.391666667</v>
      </c>
      <c r="I136" s="96" t="s">
        <v>187</v>
      </c>
      <c r="J136" s="129">
        <v>15.325</v>
      </c>
      <c r="K136" s="130">
        <f>J136-$K$105</f>
        <v>0.325</v>
      </c>
      <c r="L136" s="124"/>
      <c r="M136" s="125"/>
      <c r="N136" s="125"/>
      <c r="O136" s="126">
        <f t="shared" si="23"/>
        <v>395</v>
      </c>
      <c r="P136" s="127">
        <f t="shared" si="24"/>
        <v>424</v>
      </c>
      <c r="Q136" s="128" t="s">
        <v>187</v>
      </c>
      <c r="R136" s="129">
        <f t="shared" si="15"/>
        <v>7.583333333</v>
      </c>
      <c r="S136" s="130">
        <v>3.791666667</v>
      </c>
      <c r="T136" s="89" t="s">
        <v>255</v>
      </c>
      <c r="U136" s="78" t="s">
        <v>262</v>
      </c>
      <c r="V136" s="78">
        <v>33.0</v>
      </c>
      <c r="W136" s="78">
        <v>47.0</v>
      </c>
      <c r="Z136" s="88" t="str">
        <f t="shared" si="11"/>
        <v>W01 - Vi</v>
      </c>
      <c r="AA136" s="13">
        <f t="shared" si="12"/>
        <v>136</v>
      </c>
    </row>
    <row r="137">
      <c r="E137" s="75"/>
      <c r="F137" s="137" t="s">
        <v>263</v>
      </c>
      <c r="G137" s="133">
        <f>X267</f>
        <v>7.683333333</v>
      </c>
      <c r="H137" s="134">
        <v>3.841666667</v>
      </c>
      <c r="I137" s="90" t="s">
        <v>174</v>
      </c>
      <c r="J137" s="108">
        <f>S137</f>
        <v>2.966666667</v>
      </c>
      <c r="K137" s="115">
        <f>J137-$K$99</f>
        <v>0.9666666667</v>
      </c>
      <c r="L137" s="110" t="s">
        <v>264</v>
      </c>
      <c r="M137" s="111">
        <v>23.03333333</v>
      </c>
      <c r="N137" s="111">
        <v>11.51666667</v>
      </c>
      <c r="O137" s="112">
        <f t="shared" ref="O137:O143" si="27">MINIFS($AA$95:$AA$441,$Z$95:$Z$441,CONCATENATE(L$137," - ",Q137))</f>
        <v>425</v>
      </c>
      <c r="P137" s="113">
        <f t="shared" ref="P137:P143" si="28">MAXIFS($AA$95:$AA$441,$Z$95:$Z$441,CONCATENATE(L$137," - ",Q137))</f>
        <v>434</v>
      </c>
      <c r="Q137" s="114" t="s">
        <v>174</v>
      </c>
      <c r="R137" s="108">
        <f t="shared" si="15"/>
        <v>5.933333333</v>
      </c>
      <c r="S137" s="115">
        <v>2.966666667</v>
      </c>
      <c r="T137" s="89" t="s">
        <v>255</v>
      </c>
      <c r="U137" s="78" t="s">
        <v>265</v>
      </c>
      <c r="V137" s="78">
        <v>34.0</v>
      </c>
      <c r="W137" s="78">
        <v>47.0</v>
      </c>
      <c r="Z137" s="88" t="str">
        <f t="shared" si="11"/>
        <v>W01 - Vi</v>
      </c>
      <c r="AA137" s="13">
        <f t="shared" si="12"/>
        <v>137</v>
      </c>
    </row>
    <row r="138">
      <c r="F138" s="102" t="s">
        <v>224</v>
      </c>
      <c r="G138" s="135">
        <f t="shared" ref="G138:H138" si="26">SUM(G135:G137)</f>
        <v>24.98333333</v>
      </c>
      <c r="H138" s="135">
        <f t="shared" si="26"/>
        <v>12.49166667</v>
      </c>
      <c r="I138" s="92" t="s">
        <v>176</v>
      </c>
      <c r="J138" s="94">
        <v>4.041666667</v>
      </c>
      <c r="K138" s="123">
        <f>J138-$K$100</f>
        <v>0.5416666667</v>
      </c>
      <c r="L138" s="120"/>
      <c r="O138" s="121">
        <f t="shared" si="27"/>
        <v>435</v>
      </c>
      <c r="P138" s="122">
        <f t="shared" si="28"/>
        <v>436</v>
      </c>
      <c r="Q138" s="56" t="s">
        <v>176</v>
      </c>
      <c r="R138" s="94">
        <f t="shared" si="15"/>
        <v>2.15</v>
      </c>
      <c r="S138" s="123">
        <v>1.075</v>
      </c>
      <c r="T138" s="89" t="s">
        <v>255</v>
      </c>
      <c r="U138" s="78" t="s">
        <v>266</v>
      </c>
      <c r="V138" s="78">
        <v>38.0</v>
      </c>
      <c r="W138" s="78">
        <v>47.0</v>
      </c>
      <c r="Z138" s="88" t="str">
        <f t="shared" si="11"/>
        <v>W01 - Vi</v>
      </c>
      <c r="AA138" s="13">
        <f t="shared" si="12"/>
        <v>138</v>
      </c>
    </row>
    <row r="139">
      <c r="I139" s="92" t="s">
        <v>178</v>
      </c>
      <c r="J139" s="94">
        <v>6.283333333</v>
      </c>
      <c r="K139" s="123">
        <f>J139-$K$101</f>
        <v>0.7833333333</v>
      </c>
      <c r="L139" s="120"/>
      <c r="O139" s="121">
        <f t="shared" si="27"/>
        <v>437</v>
      </c>
      <c r="P139" s="122">
        <f t="shared" si="28"/>
        <v>441</v>
      </c>
      <c r="Q139" s="56" t="s">
        <v>178</v>
      </c>
      <c r="R139" s="94">
        <f t="shared" si="15"/>
        <v>4.483333333</v>
      </c>
      <c r="S139" s="123">
        <v>2.241666667</v>
      </c>
      <c r="T139" s="89" t="s">
        <v>255</v>
      </c>
      <c r="U139" s="78" t="s">
        <v>267</v>
      </c>
      <c r="V139" s="78">
        <v>38.0</v>
      </c>
      <c r="W139" s="78">
        <v>47.0</v>
      </c>
      <c r="Z139" s="88" t="str">
        <f t="shared" si="11"/>
        <v>W01 - Vi</v>
      </c>
      <c r="AA139" s="13">
        <f t="shared" si="12"/>
        <v>139</v>
      </c>
    </row>
    <row r="140">
      <c r="E140" s="138" t="s">
        <v>268</v>
      </c>
      <c r="F140" s="136" t="s">
        <v>269</v>
      </c>
      <c r="G140" s="106">
        <f>X276</f>
        <v>10.58333333</v>
      </c>
      <c r="H140" s="107">
        <v>5.291666667</v>
      </c>
      <c r="I140" s="92" t="s">
        <v>180</v>
      </c>
      <c r="J140" s="94">
        <v>8.541666667</v>
      </c>
      <c r="K140" s="123">
        <f>J140-$K$102</f>
        <v>1.041666667</v>
      </c>
      <c r="L140" s="120"/>
      <c r="O140" s="121">
        <f t="shared" si="27"/>
        <v>261</v>
      </c>
      <c r="P140" s="122">
        <f t="shared" si="28"/>
        <v>266</v>
      </c>
      <c r="Q140" s="56" t="s">
        <v>180</v>
      </c>
      <c r="R140" s="94">
        <f t="shared" si="15"/>
        <v>4.516666667</v>
      </c>
      <c r="S140" s="123">
        <v>2.258333333</v>
      </c>
      <c r="T140" s="89" t="s">
        <v>255</v>
      </c>
      <c r="U140" s="78" t="s">
        <v>270</v>
      </c>
      <c r="V140" s="78">
        <v>38.0</v>
      </c>
      <c r="W140" s="78">
        <v>47.0</v>
      </c>
      <c r="Z140" s="88" t="str">
        <f t="shared" si="11"/>
        <v>W01 - Vi</v>
      </c>
      <c r="AA140" s="13">
        <f t="shared" si="12"/>
        <v>140</v>
      </c>
    </row>
    <row r="141">
      <c r="E141" s="72"/>
      <c r="F141" s="78" t="s">
        <v>271</v>
      </c>
      <c r="G141" s="117">
        <f>X293</f>
        <v>5.066666667</v>
      </c>
      <c r="H141" s="118">
        <v>2.533333333</v>
      </c>
      <c r="I141" s="92" t="s">
        <v>182</v>
      </c>
      <c r="J141" s="94">
        <v>11.05833333</v>
      </c>
      <c r="K141" s="123">
        <f>J141-$K$103</f>
        <v>1.058333333</v>
      </c>
      <c r="L141" s="120"/>
      <c r="O141" s="121">
        <f t="shared" si="27"/>
        <v>267</v>
      </c>
      <c r="P141" s="122">
        <f t="shared" si="28"/>
        <v>271</v>
      </c>
      <c r="Q141" s="56" t="s">
        <v>182</v>
      </c>
      <c r="R141" s="94">
        <f t="shared" si="15"/>
        <v>5.033333333</v>
      </c>
      <c r="S141" s="123">
        <v>2.516666667</v>
      </c>
      <c r="T141" s="89" t="s">
        <v>255</v>
      </c>
      <c r="U141" s="78" t="s">
        <v>272</v>
      </c>
      <c r="V141" s="78">
        <v>46.0</v>
      </c>
      <c r="W141" s="78">
        <v>48.0</v>
      </c>
      <c r="Z141" s="88" t="str">
        <f t="shared" si="11"/>
        <v>W01 - Vi</v>
      </c>
      <c r="AA141" s="13">
        <f t="shared" si="12"/>
        <v>141</v>
      </c>
    </row>
    <row r="142">
      <c r="E142" s="72"/>
      <c r="F142" s="78" t="s">
        <v>273</v>
      </c>
      <c r="G142" s="117">
        <f>X301</f>
        <v>3.633333333</v>
      </c>
      <c r="H142" s="118">
        <v>1.816666667</v>
      </c>
      <c r="I142" s="92" t="s">
        <v>184</v>
      </c>
      <c r="J142" s="94">
        <v>11.51666667</v>
      </c>
      <c r="K142" s="123">
        <f>J142-$K$104</f>
        <v>-0.9833333333</v>
      </c>
      <c r="L142" s="120"/>
      <c r="O142" s="121">
        <f t="shared" si="27"/>
        <v>272</v>
      </c>
      <c r="P142" s="122">
        <f t="shared" si="28"/>
        <v>272</v>
      </c>
      <c r="Q142" s="56" t="s">
        <v>184</v>
      </c>
      <c r="R142" s="94">
        <f t="shared" si="15"/>
        <v>0.9166666667</v>
      </c>
      <c r="S142" s="123">
        <v>0.4583333333</v>
      </c>
      <c r="T142" s="89" t="s">
        <v>274</v>
      </c>
      <c r="U142" s="78" t="s">
        <v>275</v>
      </c>
      <c r="V142" s="78">
        <v>31.0</v>
      </c>
      <c r="W142" s="78">
        <v>48.0</v>
      </c>
      <c r="Z142" s="88" t="str">
        <f t="shared" si="11"/>
        <v>W01 - Sa</v>
      </c>
      <c r="AA142" s="13">
        <f t="shared" si="12"/>
        <v>142</v>
      </c>
    </row>
    <row r="143">
      <c r="E143" s="72"/>
      <c r="F143" s="78" t="s">
        <v>276</v>
      </c>
      <c r="G143" s="117">
        <f>X314</f>
        <v>4.683333333</v>
      </c>
      <c r="H143" s="118">
        <v>2.341666667</v>
      </c>
      <c r="I143" s="96" t="s">
        <v>187</v>
      </c>
      <c r="J143" s="129">
        <v>11.51666667</v>
      </c>
      <c r="K143" s="130">
        <f>J143-$K$105</f>
        <v>-3.483333333</v>
      </c>
      <c r="L143" s="124"/>
      <c r="M143" s="125"/>
      <c r="N143" s="125"/>
      <c r="O143" s="126">
        <f t="shared" si="27"/>
        <v>0</v>
      </c>
      <c r="P143" s="127">
        <f t="shared" si="28"/>
        <v>0</v>
      </c>
      <c r="Q143" s="128" t="s">
        <v>187</v>
      </c>
      <c r="R143" s="129">
        <f t="shared" si="15"/>
        <v>0</v>
      </c>
      <c r="S143" s="130">
        <v>0</v>
      </c>
      <c r="T143" s="89" t="s">
        <v>274</v>
      </c>
      <c r="U143" s="78" t="s">
        <v>277</v>
      </c>
      <c r="V143" s="78">
        <v>51.0</v>
      </c>
      <c r="W143" s="78">
        <v>48.0</v>
      </c>
      <c r="Z143" s="88" t="str">
        <f t="shared" si="11"/>
        <v>W01 - Sa</v>
      </c>
      <c r="AA143" s="13">
        <f t="shared" si="12"/>
        <v>143</v>
      </c>
    </row>
    <row r="144">
      <c r="E144" s="75"/>
      <c r="F144" s="137" t="s">
        <v>278</v>
      </c>
      <c r="G144" s="133">
        <f>X323</f>
        <v>3.583333333</v>
      </c>
      <c r="H144" s="134">
        <v>1.791666667</v>
      </c>
      <c r="I144" s="90" t="s">
        <v>174</v>
      </c>
      <c r="J144" s="108">
        <f>S144</f>
        <v>0</v>
      </c>
      <c r="K144" s="115"/>
      <c r="L144" s="110" t="s">
        <v>279</v>
      </c>
      <c r="M144" s="111">
        <v>0</v>
      </c>
      <c r="N144" s="111">
        <v>0</v>
      </c>
      <c r="O144" s="112">
        <f t="shared" ref="O144:O150" si="30">MINIFS($AA$95:$AA$441,$Z$95:$Z$441,CONCATENATE(L$144," - ",Q144))</f>
        <v>0</v>
      </c>
      <c r="P144" s="113">
        <f t="shared" ref="P144:P150" si="31">MAXIFS($AA$95:$AA$441,$Z$95:$Z$441,CONCATENATE(L$144," - ",Q144))</f>
        <v>0</v>
      </c>
      <c r="Q144" s="114" t="s">
        <v>174</v>
      </c>
      <c r="R144" s="108">
        <f t="shared" si="15"/>
        <v>0</v>
      </c>
      <c r="S144" s="115">
        <v>0</v>
      </c>
      <c r="T144" s="89" t="s">
        <v>280</v>
      </c>
      <c r="U144" s="78" t="s">
        <v>281</v>
      </c>
      <c r="V144" s="78">
        <v>32.0</v>
      </c>
      <c r="W144" s="78">
        <v>48.0</v>
      </c>
      <c r="Z144" s="88" t="str">
        <f t="shared" si="11"/>
        <v>W01 - Do</v>
      </c>
      <c r="AA144" s="13">
        <f t="shared" si="12"/>
        <v>144</v>
      </c>
    </row>
    <row r="145">
      <c r="F145" s="102" t="s">
        <v>224</v>
      </c>
      <c r="G145" s="135">
        <f t="shared" ref="G145:H145" si="29">SUM(G140:G144)</f>
        <v>27.55</v>
      </c>
      <c r="H145" s="135">
        <f t="shared" si="29"/>
        <v>13.775</v>
      </c>
      <c r="I145" s="92" t="s">
        <v>176</v>
      </c>
      <c r="J145" s="94">
        <v>0</v>
      </c>
      <c r="K145" s="123"/>
      <c r="L145" s="120"/>
      <c r="O145" s="121">
        <f t="shared" si="30"/>
        <v>0</v>
      </c>
      <c r="P145" s="122">
        <f t="shared" si="31"/>
        <v>0</v>
      </c>
      <c r="Q145" s="56" t="s">
        <v>176</v>
      </c>
      <c r="R145" s="94">
        <f t="shared" si="15"/>
        <v>0</v>
      </c>
      <c r="S145" s="123">
        <v>0</v>
      </c>
      <c r="T145" s="89" t="s">
        <v>280</v>
      </c>
      <c r="U145" s="78" t="s">
        <v>282</v>
      </c>
      <c r="V145" s="78">
        <v>43.0</v>
      </c>
      <c r="W145" s="78">
        <v>48.0</v>
      </c>
      <c r="Z145" s="88" t="str">
        <f t="shared" si="11"/>
        <v>W01 - Do</v>
      </c>
      <c r="AA145" s="13">
        <f t="shared" si="12"/>
        <v>145</v>
      </c>
    </row>
    <row r="146">
      <c r="I146" s="92" t="s">
        <v>178</v>
      </c>
      <c r="J146" s="94">
        <v>0</v>
      </c>
      <c r="K146" s="123"/>
      <c r="L146" s="120"/>
      <c r="O146" s="121">
        <f t="shared" si="30"/>
        <v>0</v>
      </c>
      <c r="P146" s="122">
        <f t="shared" si="31"/>
        <v>0</v>
      </c>
      <c r="Q146" s="56" t="s">
        <v>178</v>
      </c>
      <c r="R146" s="94">
        <f t="shared" si="15"/>
        <v>0</v>
      </c>
      <c r="S146" s="123">
        <v>0</v>
      </c>
      <c r="T146" s="89" t="s">
        <v>280</v>
      </c>
      <c r="U146" s="78" t="s">
        <v>283</v>
      </c>
      <c r="V146" s="78">
        <v>32.0</v>
      </c>
      <c r="W146" s="78">
        <v>48.0</v>
      </c>
      <c r="Z146" s="88" t="str">
        <f t="shared" si="11"/>
        <v>W01 - Do</v>
      </c>
      <c r="AA146" s="13">
        <f t="shared" si="12"/>
        <v>146</v>
      </c>
    </row>
    <row r="147">
      <c r="E147" s="138" t="s">
        <v>284</v>
      </c>
      <c r="F147" s="136" t="s">
        <v>285</v>
      </c>
      <c r="G147" s="106">
        <f>X329</f>
        <v>9.95</v>
      </c>
      <c r="H147" s="107">
        <v>4.975</v>
      </c>
      <c r="I147" s="92" t="s">
        <v>180</v>
      </c>
      <c r="J147" s="94">
        <v>0</v>
      </c>
      <c r="K147" s="123"/>
      <c r="L147" s="120"/>
      <c r="O147" s="121">
        <f t="shared" si="30"/>
        <v>0</v>
      </c>
      <c r="P147" s="122">
        <f t="shared" si="31"/>
        <v>0</v>
      </c>
      <c r="Q147" s="56" t="s">
        <v>180</v>
      </c>
      <c r="R147" s="94">
        <f t="shared" si="15"/>
        <v>0</v>
      </c>
      <c r="S147" s="123">
        <v>0</v>
      </c>
      <c r="T147" s="89" t="s">
        <v>280</v>
      </c>
      <c r="U147" s="78" t="s">
        <v>286</v>
      </c>
      <c r="V147" s="78">
        <v>9.0</v>
      </c>
      <c r="W147" s="78">
        <v>48.0</v>
      </c>
      <c r="Z147" s="88" t="str">
        <f t="shared" si="11"/>
        <v>W01 - Do</v>
      </c>
      <c r="AA147" s="13">
        <f t="shared" si="12"/>
        <v>147</v>
      </c>
    </row>
    <row r="148">
      <c r="E148" s="72"/>
      <c r="F148" s="78" t="s">
        <v>287</v>
      </c>
      <c r="G148" s="117">
        <f>X344</f>
        <v>14.56666667</v>
      </c>
      <c r="H148" s="118">
        <v>7.283333333</v>
      </c>
      <c r="I148" s="92" t="s">
        <v>182</v>
      </c>
      <c r="J148" s="94">
        <v>0</v>
      </c>
      <c r="K148" s="123"/>
      <c r="L148" s="120"/>
      <c r="O148" s="121">
        <f t="shared" si="30"/>
        <v>0</v>
      </c>
      <c r="P148" s="122">
        <f t="shared" si="31"/>
        <v>0</v>
      </c>
      <c r="Q148" s="56" t="s">
        <v>182</v>
      </c>
      <c r="R148" s="94">
        <f t="shared" si="15"/>
        <v>0</v>
      </c>
      <c r="S148" s="123">
        <v>0</v>
      </c>
      <c r="T148" s="89" t="s">
        <v>280</v>
      </c>
      <c r="U148" s="78" t="s">
        <v>288</v>
      </c>
      <c r="V148" s="78">
        <v>44.0</v>
      </c>
      <c r="W148" s="78">
        <v>49.0</v>
      </c>
      <c r="Z148" s="88" t="str">
        <f t="shared" si="11"/>
        <v>W01 - Do</v>
      </c>
      <c r="AA148" s="13">
        <f t="shared" si="12"/>
        <v>148</v>
      </c>
    </row>
    <row r="149">
      <c r="E149" s="72"/>
      <c r="F149" s="78" t="s">
        <v>289</v>
      </c>
      <c r="G149" s="117">
        <f>X361</f>
        <v>6.366666667</v>
      </c>
      <c r="H149" s="118">
        <v>3.183333333</v>
      </c>
      <c r="I149" s="92" t="s">
        <v>184</v>
      </c>
      <c r="J149" s="94">
        <v>0</v>
      </c>
      <c r="K149" s="123"/>
      <c r="L149" s="120"/>
      <c r="O149" s="121">
        <f t="shared" si="30"/>
        <v>0</v>
      </c>
      <c r="P149" s="122">
        <f t="shared" si="31"/>
        <v>0</v>
      </c>
      <c r="Q149" s="56" t="s">
        <v>184</v>
      </c>
      <c r="R149" s="94">
        <f t="shared" si="15"/>
        <v>0</v>
      </c>
      <c r="S149" s="123">
        <v>0</v>
      </c>
      <c r="T149" s="89" t="s">
        <v>280</v>
      </c>
      <c r="U149" s="78" t="s">
        <v>290</v>
      </c>
      <c r="V149" s="78">
        <v>22.0</v>
      </c>
      <c r="W149" s="78">
        <v>49.0</v>
      </c>
      <c r="Z149" s="88" t="str">
        <f t="shared" si="11"/>
        <v>W01 - Do</v>
      </c>
      <c r="AA149" s="13">
        <f t="shared" si="12"/>
        <v>149</v>
      </c>
    </row>
    <row r="150">
      <c r="E150" s="72"/>
      <c r="F150" s="78" t="s">
        <v>291</v>
      </c>
      <c r="G150" s="117">
        <f>X378</f>
        <v>12.01666667</v>
      </c>
      <c r="H150" s="118">
        <v>6.008333333</v>
      </c>
      <c r="I150" s="96" t="s">
        <v>187</v>
      </c>
      <c r="J150" s="129">
        <v>0</v>
      </c>
      <c r="K150" s="130"/>
      <c r="L150" s="124"/>
      <c r="M150" s="125"/>
      <c r="N150" s="125"/>
      <c r="O150" s="126">
        <f t="shared" si="30"/>
        <v>0</v>
      </c>
      <c r="P150" s="127">
        <f t="shared" si="31"/>
        <v>0</v>
      </c>
      <c r="Q150" s="128" t="s">
        <v>187</v>
      </c>
      <c r="R150" s="129">
        <f t="shared" si="15"/>
        <v>0</v>
      </c>
      <c r="S150" s="130">
        <v>0</v>
      </c>
      <c r="T150" s="89" t="s">
        <v>280</v>
      </c>
      <c r="U150" s="78" t="s">
        <v>292</v>
      </c>
      <c r="V150" s="78">
        <v>38.0</v>
      </c>
      <c r="W150" s="78">
        <v>49.0</v>
      </c>
      <c r="Z150" s="88" t="str">
        <f t="shared" si="11"/>
        <v>W01 - Do</v>
      </c>
      <c r="AA150" s="13">
        <f t="shared" si="12"/>
        <v>150</v>
      </c>
    </row>
    <row r="151">
      <c r="E151" s="75"/>
      <c r="F151" s="137" t="s">
        <v>293</v>
      </c>
      <c r="G151" s="133">
        <f>X393</f>
        <v>1.766666667</v>
      </c>
      <c r="H151" s="134">
        <v>0.8833333333</v>
      </c>
      <c r="I151" s="90" t="s">
        <v>174</v>
      </c>
      <c r="J151" s="108">
        <f>S151</f>
        <v>0</v>
      </c>
      <c r="K151" s="115"/>
      <c r="L151" s="110" t="s">
        <v>294</v>
      </c>
      <c r="M151" s="111">
        <v>0</v>
      </c>
      <c r="N151" s="111">
        <v>0</v>
      </c>
      <c r="O151" s="112">
        <f t="shared" ref="O151:O157" si="33">MINIFS($AA$95:$AA$441,$Z$95:$Z$441,CONCATENATE(L$151," - ",Q151))</f>
        <v>0</v>
      </c>
      <c r="P151" s="113">
        <f t="shared" ref="P151:P157" si="34">MAXIFS($AA$95:$AA$441,$Z$95:$Z$441,CONCATENATE(L$151," - ",Q151))</f>
        <v>0</v>
      </c>
      <c r="Q151" s="114" t="s">
        <v>174</v>
      </c>
      <c r="R151" s="108">
        <f t="shared" si="15"/>
        <v>0</v>
      </c>
      <c r="S151" s="115">
        <v>0</v>
      </c>
      <c r="T151" s="89" t="s">
        <v>280</v>
      </c>
      <c r="U151" s="78" t="s">
        <v>295</v>
      </c>
      <c r="V151" s="78">
        <v>26.0</v>
      </c>
      <c r="W151" s="78">
        <v>49.0</v>
      </c>
      <c r="Z151" s="88" t="str">
        <f t="shared" si="11"/>
        <v>W01 - Do</v>
      </c>
      <c r="AA151" s="13">
        <f t="shared" si="12"/>
        <v>151</v>
      </c>
    </row>
    <row r="152">
      <c r="F152" s="102" t="s">
        <v>224</v>
      </c>
      <c r="G152" s="135">
        <f t="shared" ref="G152:H152" si="32">SUM(G147:G151)</f>
        <v>44.66666667</v>
      </c>
      <c r="H152" s="135">
        <f t="shared" si="32"/>
        <v>22.33333333</v>
      </c>
      <c r="I152" s="92" t="s">
        <v>176</v>
      </c>
      <c r="J152" s="94">
        <v>0</v>
      </c>
      <c r="K152" s="123"/>
      <c r="L152" s="120"/>
      <c r="O152" s="121">
        <f t="shared" si="33"/>
        <v>0</v>
      </c>
      <c r="P152" s="122">
        <f t="shared" si="34"/>
        <v>0</v>
      </c>
      <c r="Q152" s="56" t="s">
        <v>176</v>
      </c>
      <c r="R152" s="94">
        <f t="shared" si="15"/>
        <v>0</v>
      </c>
      <c r="S152" s="123">
        <v>0</v>
      </c>
      <c r="T152" s="89" t="s">
        <v>296</v>
      </c>
      <c r="U152" s="78" t="s">
        <v>297</v>
      </c>
      <c r="V152" s="78">
        <v>35.0</v>
      </c>
      <c r="W152" s="78">
        <v>49.0</v>
      </c>
      <c r="Z152" s="88" t="str">
        <f t="shared" si="11"/>
        <v>W02 - Lu</v>
      </c>
      <c r="AA152" s="13">
        <f t="shared" si="12"/>
        <v>152</v>
      </c>
    </row>
    <row r="153">
      <c r="I153" s="92" t="s">
        <v>178</v>
      </c>
      <c r="J153" s="94">
        <v>0</v>
      </c>
      <c r="K153" s="123"/>
      <c r="L153" s="120"/>
      <c r="O153" s="121">
        <f t="shared" si="33"/>
        <v>0</v>
      </c>
      <c r="P153" s="122">
        <f t="shared" si="34"/>
        <v>0</v>
      </c>
      <c r="Q153" s="56" t="s">
        <v>178</v>
      </c>
      <c r="R153" s="94">
        <f t="shared" si="15"/>
        <v>0</v>
      </c>
      <c r="S153" s="123">
        <v>0</v>
      </c>
      <c r="T153" s="89" t="s">
        <v>296</v>
      </c>
      <c r="U153" s="78" t="s">
        <v>298</v>
      </c>
      <c r="V153" s="78">
        <v>35.0</v>
      </c>
      <c r="W153" s="78">
        <v>49.0</v>
      </c>
      <c r="Z153" s="88" t="str">
        <f t="shared" si="11"/>
        <v>W02 - Lu</v>
      </c>
      <c r="AA153" s="13">
        <f t="shared" si="12"/>
        <v>153</v>
      </c>
    </row>
    <row r="154">
      <c r="F154" s="139" t="s">
        <v>299</v>
      </c>
      <c r="G154" s="140">
        <f t="shared" ref="G154:H154" si="35">G152+G145+G138+G133+G125+G118</f>
        <v>343.7</v>
      </c>
      <c r="H154" s="140">
        <f t="shared" si="35"/>
        <v>171.85</v>
      </c>
      <c r="I154" s="92" t="s">
        <v>180</v>
      </c>
      <c r="J154" s="94">
        <v>0</v>
      </c>
      <c r="K154" s="123"/>
      <c r="L154" s="120"/>
      <c r="O154" s="121">
        <f t="shared" si="33"/>
        <v>0</v>
      </c>
      <c r="P154" s="122">
        <f t="shared" si="34"/>
        <v>0</v>
      </c>
      <c r="Q154" s="56" t="s">
        <v>180</v>
      </c>
      <c r="R154" s="94">
        <f t="shared" si="15"/>
        <v>0</v>
      </c>
      <c r="S154" s="123">
        <v>0</v>
      </c>
      <c r="T154" s="89" t="s">
        <v>296</v>
      </c>
      <c r="U154" s="78" t="s">
        <v>300</v>
      </c>
      <c r="V154" s="78">
        <v>11.0</v>
      </c>
      <c r="W154" s="78">
        <v>50.0</v>
      </c>
      <c r="Z154" s="88" t="str">
        <f t="shared" si="11"/>
        <v>W02 - Lu</v>
      </c>
      <c r="AA154" s="13">
        <f t="shared" si="12"/>
        <v>154</v>
      </c>
    </row>
    <row r="155">
      <c r="I155" s="92" t="s">
        <v>182</v>
      </c>
      <c r="J155" s="94">
        <v>0</v>
      </c>
      <c r="K155" s="123"/>
      <c r="L155" s="120"/>
      <c r="O155" s="121">
        <f t="shared" si="33"/>
        <v>0</v>
      </c>
      <c r="P155" s="122">
        <f t="shared" si="34"/>
        <v>0</v>
      </c>
      <c r="Q155" s="56" t="s">
        <v>182</v>
      </c>
      <c r="R155" s="94">
        <f t="shared" si="15"/>
        <v>0</v>
      </c>
      <c r="S155" s="123">
        <v>0</v>
      </c>
      <c r="T155" s="89" t="s">
        <v>296</v>
      </c>
      <c r="U155" s="78" t="s">
        <v>301</v>
      </c>
      <c r="V155" s="78">
        <v>19.0</v>
      </c>
      <c r="W155" s="78">
        <v>50.0</v>
      </c>
      <c r="Z155" s="88" t="str">
        <f t="shared" si="11"/>
        <v>W02 - Lu</v>
      </c>
      <c r="AA155" s="13">
        <f t="shared" si="12"/>
        <v>155</v>
      </c>
    </row>
    <row r="156">
      <c r="E156" s="141" t="s">
        <v>302</v>
      </c>
      <c r="F156" s="78" t="s">
        <v>303</v>
      </c>
      <c r="G156" s="117">
        <f>X404</f>
        <v>5.033333333</v>
      </c>
      <c r="H156" s="117">
        <v>2.516666667</v>
      </c>
      <c r="I156" s="92" t="s">
        <v>184</v>
      </c>
      <c r="J156" s="94">
        <v>0</v>
      </c>
      <c r="K156" s="123"/>
      <c r="L156" s="120"/>
      <c r="O156" s="121">
        <f t="shared" si="33"/>
        <v>0</v>
      </c>
      <c r="P156" s="122">
        <f t="shared" si="34"/>
        <v>0</v>
      </c>
      <c r="Q156" s="56" t="s">
        <v>184</v>
      </c>
      <c r="R156" s="94">
        <f t="shared" si="15"/>
        <v>0</v>
      </c>
      <c r="S156" s="123">
        <v>0</v>
      </c>
      <c r="T156" s="89" t="s">
        <v>296</v>
      </c>
      <c r="U156" s="78" t="s">
        <v>304</v>
      </c>
      <c r="V156" s="78">
        <v>15.0</v>
      </c>
      <c r="W156" s="78">
        <v>50.0</v>
      </c>
      <c r="Z156" s="88" t="str">
        <f t="shared" si="11"/>
        <v>W02 - Lu</v>
      </c>
      <c r="AA156" s="13">
        <f t="shared" si="12"/>
        <v>156</v>
      </c>
    </row>
    <row r="157">
      <c r="F157" s="78" t="s">
        <v>305</v>
      </c>
      <c r="G157" s="117">
        <f>X425</f>
        <v>7.166666667</v>
      </c>
      <c r="H157" s="117">
        <v>3.583333333</v>
      </c>
      <c r="I157" s="96" t="s">
        <v>187</v>
      </c>
      <c r="J157" s="129">
        <v>0</v>
      </c>
      <c r="K157" s="130"/>
      <c r="L157" s="124"/>
      <c r="M157" s="125"/>
      <c r="N157" s="125"/>
      <c r="O157" s="126">
        <f t="shared" si="33"/>
        <v>0</v>
      </c>
      <c r="P157" s="127">
        <f t="shared" si="34"/>
        <v>0</v>
      </c>
      <c r="Q157" s="128" t="s">
        <v>187</v>
      </c>
      <c r="R157" s="129">
        <f t="shared" si="15"/>
        <v>0</v>
      </c>
      <c r="S157" s="130">
        <v>0</v>
      </c>
      <c r="T157" s="89" t="s">
        <v>296</v>
      </c>
      <c r="U157" s="78" t="s">
        <v>306</v>
      </c>
      <c r="V157" s="78">
        <v>15.0</v>
      </c>
      <c r="W157" s="78">
        <v>50.0</v>
      </c>
      <c r="Z157" s="88" t="str">
        <f t="shared" si="11"/>
        <v>W02 - Lu</v>
      </c>
      <c r="AA157" s="13">
        <f t="shared" si="12"/>
        <v>157</v>
      </c>
    </row>
    <row r="158">
      <c r="F158" s="78" t="s">
        <v>307</v>
      </c>
      <c r="G158" s="117">
        <f>X436</f>
        <v>7.116666667</v>
      </c>
      <c r="H158" s="117">
        <v>3.558333333</v>
      </c>
      <c r="I158" s="90" t="s">
        <v>174</v>
      </c>
      <c r="J158" s="108">
        <f>S158</f>
        <v>0</v>
      </c>
      <c r="K158" s="115"/>
      <c r="L158" s="110" t="s">
        <v>308</v>
      </c>
      <c r="M158" s="111">
        <v>0</v>
      </c>
      <c r="N158" s="111">
        <v>0</v>
      </c>
      <c r="O158" s="112">
        <f t="shared" ref="O158:O164" si="36">MINIFS($AA$95:$AA$441,$Z$95:$Z$441,CONCATENATE(L$158," - ",Q158))</f>
        <v>0</v>
      </c>
      <c r="P158" s="113">
        <f t="shared" ref="P158:P164" si="37">MAXIFS($AA$95:$AA$441,$Z$95:$Z$441,CONCATENATE(L$158," - ",Q158))</f>
        <v>0</v>
      </c>
      <c r="Q158" s="114" t="s">
        <v>174</v>
      </c>
      <c r="R158" s="108">
        <f t="shared" si="15"/>
        <v>0</v>
      </c>
      <c r="S158" s="115">
        <v>0</v>
      </c>
      <c r="T158" s="89" t="s">
        <v>296</v>
      </c>
      <c r="U158" s="78" t="s">
        <v>309</v>
      </c>
      <c r="V158" s="78">
        <v>24.0</v>
      </c>
      <c r="W158" s="78">
        <v>50.0</v>
      </c>
      <c r="Z158" s="88" t="str">
        <f t="shared" si="11"/>
        <v>W02 - Lu</v>
      </c>
      <c r="AA158" s="13">
        <f t="shared" si="12"/>
        <v>158</v>
      </c>
    </row>
    <row r="159">
      <c r="E159" s="141"/>
      <c r="F159" s="78" t="s">
        <v>310</v>
      </c>
      <c r="G159" s="117">
        <f>G156+G157+G158</f>
        <v>19.31666667</v>
      </c>
      <c r="H159" s="117">
        <v>9.658333333</v>
      </c>
      <c r="I159" s="92" t="s">
        <v>176</v>
      </c>
      <c r="J159" s="94">
        <v>0</v>
      </c>
      <c r="K159" s="123"/>
      <c r="L159" s="120"/>
      <c r="O159" s="121">
        <f t="shared" si="36"/>
        <v>0</v>
      </c>
      <c r="P159" s="122">
        <f t="shared" si="37"/>
        <v>0</v>
      </c>
      <c r="Q159" s="56" t="s">
        <v>176</v>
      </c>
      <c r="R159" s="94">
        <f t="shared" si="15"/>
        <v>0</v>
      </c>
      <c r="S159" s="123">
        <v>0</v>
      </c>
      <c r="T159" s="89" t="s">
        <v>296</v>
      </c>
      <c r="U159" s="78" t="s">
        <v>311</v>
      </c>
      <c r="V159" s="78">
        <v>22.0</v>
      </c>
      <c r="W159" s="78">
        <v>50.0</v>
      </c>
      <c r="Z159" s="88" t="str">
        <f t="shared" si="11"/>
        <v>W02 - Lu</v>
      </c>
      <c r="AA159" s="13">
        <f t="shared" si="12"/>
        <v>159</v>
      </c>
    </row>
    <row r="160">
      <c r="E160" s="141"/>
      <c r="F160" s="11"/>
      <c r="G160" s="117"/>
      <c r="H160" s="117"/>
      <c r="I160" s="92" t="s">
        <v>178</v>
      </c>
      <c r="J160" s="94">
        <v>0</v>
      </c>
      <c r="K160" s="123"/>
      <c r="L160" s="120"/>
      <c r="O160" s="121">
        <f t="shared" si="36"/>
        <v>0</v>
      </c>
      <c r="P160" s="122">
        <f t="shared" si="37"/>
        <v>0</v>
      </c>
      <c r="Q160" s="56" t="s">
        <v>178</v>
      </c>
      <c r="R160" s="94">
        <f t="shared" si="15"/>
        <v>0</v>
      </c>
      <c r="S160" s="123">
        <v>0</v>
      </c>
      <c r="T160" s="89" t="s">
        <v>296</v>
      </c>
      <c r="U160" s="78" t="s">
        <v>312</v>
      </c>
      <c r="V160" s="78">
        <v>18.0</v>
      </c>
      <c r="W160" s="78">
        <v>51.0</v>
      </c>
      <c r="Z160" s="88" t="str">
        <f t="shared" si="11"/>
        <v>W02 - Lu</v>
      </c>
      <c r="AA160" s="13">
        <f t="shared" si="12"/>
        <v>160</v>
      </c>
    </row>
    <row r="161">
      <c r="F161" s="78" t="s">
        <v>313</v>
      </c>
      <c r="G161" s="117">
        <v>363.0166667</v>
      </c>
      <c r="H161" s="117">
        <v>181.5083333</v>
      </c>
      <c r="I161" s="92" t="s">
        <v>180</v>
      </c>
      <c r="J161" s="94">
        <v>0</v>
      </c>
      <c r="K161" s="123"/>
      <c r="L161" s="120"/>
      <c r="O161" s="121">
        <f t="shared" si="36"/>
        <v>0</v>
      </c>
      <c r="P161" s="122">
        <f t="shared" si="37"/>
        <v>0</v>
      </c>
      <c r="Q161" s="56" t="s">
        <v>180</v>
      </c>
      <c r="R161" s="94">
        <f t="shared" si="15"/>
        <v>0</v>
      </c>
      <c r="S161" s="123">
        <v>0</v>
      </c>
      <c r="T161" s="89" t="s">
        <v>296</v>
      </c>
      <c r="U161" s="78" t="s">
        <v>314</v>
      </c>
      <c r="V161" s="78">
        <v>30.0</v>
      </c>
      <c r="W161" s="78">
        <v>51.0</v>
      </c>
      <c r="Z161" s="88" t="str">
        <f t="shared" si="11"/>
        <v>W02 - Lu</v>
      </c>
      <c r="AA161" s="13">
        <f t="shared" si="12"/>
        <v>161</v>
      </c>
    </row>
    <row r="162">
      <c r="F162" s="78" t="s">
        <v>315</v>
      </c>
      <c r="G162" s="117">
        <f t="shared" ref="G162:H162" si="38">G161/15</f>
        <v>24.20111111</v>
      </c>
      <c r="H162" s="117">
        <f t="shared" si="38"/>
        <v>12.10055556</v>
      </c>
      <c r="I162" s="92" t="s">
        <v>182</v>
      </c>
      <c r="J162" s="94">
        <v>0</v>
      </c>
      <c r="K162" s="123"/>
      <c r="L162" s="120"/>
      <c r="O162" s="121">
        <f t="shared" si="36"/>
        <v>0</v>
      </c>
      <c r="P162" s="122">
        <f t="shared" si="37"/>
        <v>0</v>
      </c>
      <c r="Q162" s="56" t="s">
        <v>182</v>
      </c>
      <c r="R162" s="94">
        <f t="shared" si="15"/>
        <v>0</v>
      </c>
      <c r="S162" s="123">
        <v>0</v>
      </c>
      <c r="T162" s="89" t="s">
        <v>296</v>
      </c>
      <c r="U162" s="78" t="s">
        <v>316</v>
      </c>
      <c r="V162" s="78">
        <v>18.0</v>
      </c>
      <c r="W162" s="78">
        <v>51.0</v>
      </c>
      <c r="Z162" s="88" t="str">
        <f t="shared" si="11"/>
        <v>W02 - Lu</v>
      </c>
      <c r="AA162" s="13">
        <f t="shared" si="12"/>
        <v>162</v>
      </c>
    </row>
    <row r="163">
      <c r="F163" s="78" t="s">
        <v>317</v>
      </c>
      <c r="G163" s="117">
        <f t="shared" ref="G163:H163" si="39">G162/( 52/12)</f>
        <v>5.584871795</v>
      </c>
      <c r="H163" s="117">
        <f t="shared" si="39"/>
        <v>2.792435897</v>
      </c>
      <c r="I163" s="92" t="s">
        <v>184</v>
      </c>
      <c r="J163" s="94">
        <v>0</v>
      </c>
      <c r="K163" s="123"/>
      <c r="L163" s="120"/>
      <c r="O163" s="121">
        <f t="shared" si="36"/>
        <v>0</v>
      </c>
      <c r="P163" s="122">
        <f t="shared" si="37"/>
        <v>0</v>
      </c>
      <c r="Q163" s="56" t="s">
        <v>184</v>
      </c>
      <c r="R163" s="94">
        <f t="shared" si="15"/>
        <v>0</v>
      </c>
      <c r="S163" s="123">
        <v>0</v>
      </c>
      <c r="T163" s="89" t="s">
        <v>296</v>
      </c>
      <c r="U163" s="78" t="s">
        <v>318</v>
      </c>
      <c r="V163" s="78">
        <v>18.0</v>
      </c>
      <c r="W163" s="78">
        <v>51.0</v>
      </c>
      <c r="Z163" s="88" t="str">
        <f t="shared" si="11"/>
        <v>W02 - Lu</v>
      </c>
      <c r="AA163" s="13">
        <f t="shared" si="12"/>
        <v>163</v>
      </c>
    </row>
    <row r="164">
      <c r="I164" s="96" t="s">
        <v>187</v>
      </c>
      <c r="J164" s="129">
        <v>0</v>
      </c>
      <c r="K164" s="130"/>
      <c r="L164" s="124"/>
      <c r="M164" s="125"/>
      <c r="N164" s="125"/>
      <c r="O164" s="126">
        <f t="shared" si="36"/>
        <v>0</v>
      </c>
      <c r="P164" s="127">
        <f t="shared" si="37"/>
        <v>0</v>
      </c>
      <c r="Q164" s="128" t="s">
        <v>187</v>
      </c>
      <c r="R164" s="129">
        <f t="shared" si="15"/>
        <v>0</v>
      </c>
      <c r="S164" s="130">
        <v>0</v>
      </c>
      <c r="T164" s="89" t="s">
        <v>296</v>
      </c>
      <c r="U164" s="78" t="s">
        <v>319</v>
      </c>
      <c r="V164" s="78">
        <v>14.0</v>
      </c>
      <c r="W164" s="78">
        <v>51.0</v>
      </c>
      <c r="Z164" s="88" t="str">
        <f t="shared" si="11"/>
        <v>W02 - Lu</v>
      </c>
      <c r="AA164" s="13">
        <f t="shared" si="12"/>
        <v>164</v>
      </c>
    </row>
    <row r="165">
      <c r="I165" s="90" t="s">
        <v>174</v>
      </c>
      <c r="J165" s="108">
        <f>S165</f>
        <v>0</v>
      </c>
      <c r="K165" s="115"/>
      <c r="L165" s="110" t="s">
        <v>320</v>
      </c>
      <c r="M165" s="111">
        <v>0</v>
      </c>
      <c r="N165" s="111">
        <v>0</v>
      </c>
      <c r="O165" s="112">
        <f t="shared" ref="O165:O171" si="40">MINIFS($AA$95:$AA$441,$Z$95:$Z$441,CONCATENATE(L$165," - ",Q165))</f>
        <v>0</v>
      </c>
      <c r="P165" s="113">
        <f t="shared" ref="P165:P171" si="41">MAXIFS($AA$95:$AA$441,$Z$95:$Z$441,CONCATENATE(L$165," - ",Q165))</f>
        <v>0</v>
      </c>
      <c r="Q165" s="114" t="s">
        <v>174</v>
      </c>
      <c r="R165" s="108">
        <f t="shared" si="15"/>
        <v>0</v>
      </c>
      <c r="S165" s="115">
        <v>0</v>
      </c>
      <c r="T165" s="89" t="s">
        <v>296</v>
      </c>
      <c r="U165" s="78" t="s">
        <v>321</v>
      </c>
      <c r="V165" s="78">
        <v>12.0</v>
      </c>
      <c r="W165" s="78">
        <v>51.0</v>
      </c>
      <c r="Z165" s="88" t="str">
        <f t="shared" si="11"/>
        <v>W02 - Lu</v>
      </c>
      <c r="AA165" s="13">
        <f t="shared" si="12"/>
        <v>165</v>
      </c>
    </row>
    <row r="166">
      <c r="I166" s="92" t="s">
        <v>176</v>
      </c>
      <c r="J166" s="94">
        <v>0</v>
      </c>
      <c r="K166" s="123"/>
      <c r="L166" s="120"/>
      <c r="O166" s="121">
        <f t="shared" si="40"/>
        <v>0</v>
      </c>
      <c r="P166" s="122">
        <f t="shared" si="41"/>
        <v>0</v>
      </c>
      <c r="Q166" s="56" t="s">
        <v>176</v>
      </c>
      <c r="R166" s="94">
        <f t="shared" si="15"/>
        <v>0</v>
      </c>
      <c r="S166" s="123">
        <v>0</v>
      </c>
      <c r="T166" s="89" t="s">
        <v>296</v>
      </c>
      <c r="U166" s="78" t="s">
        <v>322</v>
      </c>
      <c r="V166" s="78">
        <v>12.0</v>
      </c>
      <c r="W166" s="78">
        <v>51.0</v>
      </c>
      <c r="Z166" s="88" t="str">
        <f t="shared" si="11"/>
        <v>W02 - Lu</v>
      </c>
      <c r="AA166" s="13">
        <f t="shared" si="12"/>
        <v>166</v>
      </c>
    </row>
    <row r="167">
      <c r="I167" s="92" t="s">
        <v>178</v>
      </c>
      <c r="J167" s="94">
        <v>0</v>
      </c>
      <c r="K167" s="123"/>
      <c r="L167" s="120"/>
      <c r="O167" s="121">
        <f t="shared" si="40"/>
        <v>0</v>
      </c>
      <c r="P167" s="122">
        <f t="shared" si="41"/>
        <v>0</v>
      </c>
      <c r="Q167" s="56" t="s">
        <v>178</v>
      </c>
      <c r="R167" s="94">
        <f t="shared" si="15"/>
        <v>0</v>
      </c>
      <c r="S167" s="123">
        <v>0</v>
      </c>
      <c r="T167" s="89" t="s">
        <v>323</v>
      </c>
      <c r="U167" s="78" t="s">
        <v>324</v>
      </c>
      <c r="V167" s="78">
        <v>12.0</v>
      </c>
      <c r="W167" s="78">
        <v>51.0</v>
      </c>
      <c r="Z167" s="88" t="str">
        <f t="shared" si="11"/>
        <v>W02 - Lu</v>
      </c>
      <c r="AA167" s="13">
        <f t="shared" si="12"/>
        <v>167</v>
      </c>
    </row>
    <row r="168">
      <c r="I168" s="92" t="s">
        <v>180</v>
      </c>
      <c r="J168" s="94">
        <v>0</v>
      </c>
      <c r="K168" s="123"/>
      <c r="L168" s="120"/>
      <c r="O168" s="121">
        <f t="shared" si="40"/>
        <v>0</v>
      </c>
      <c r="P168" s="122">
        <f t="shared" si="41"/>
        <v>0</v>
      </c>
      <c r="Q168" s="56" t="s">
        <v>180</v>
      </c>
      <c r="R168" s="94">
        <f t="shared" si="15"/>
        <v>0</v>
      </c>
      <c r="S168" s="123">
        <v>0</v>
      </c>
      <c r="T168" s="89" t="s">
        <v>325</v>
      </c>
      <c r="U168" s="78" t="s">
        <v>326</v>
      </c>
      <c r="V168" s="78">
        <v>17.0</v>
      </c>
      <c r="W168" s="78">
        <v>52.0</v>
      </c>
      <c r="X168" s="78" t="s">
        <v>130</v>
      </c>
      <c r="Z168" s="88" t="str">
        <f t="shared" si="11"/>
        <v>W02 - Ma</v>
      </c>
      <c r="AA168" s="13">
        <f t="shared" si="12"/>
        <v>168</v>
      </c>
    </row>
    <row r="169">
      <c r="I169" s="92" t="s">
        <v>182</v>
      </c>
      <c r="J169" s="94">
        <v>0</v>
      </c>
      <c r="K169" s="123"/>
      <c r="L169" s="120"/>
      <c r="O169" s="121">
        <f t="shared" si="40"/>
        <v>0</v>
      </c>
      <c r="P169" s="122">
        <f t="shared" si="41"/>
        <v>0</v>
      </c>
      <c r="Q169" s="56" t="s">
        <v>182</v>
      </c>
      <c r="R169" s="94">
        <f t="shared" si="15"/>
        <v>0</v>
      </c>
      <c r="S169" s="123">
        <v>0</v>
      </c>
      <c r="T169" s="89" t="s">
        <v>325</v>
      </c>
      <c r="U169" s="78" t="s">
        <v>327</v>
      </c>
      <c r="V169" s="78">
        <v>13.0</v>
      </c>
      <c r="W169" s="78">
        <v>52.0</v>
      </c>
      <c r="X169" s="11">
        <f>SUM(V125:V183)</f>
        <v>1746</v>
      </c>
      <c r="Z169" s="88" t="str">
        <f t="shared" si="11"/>
        <v>W02 - Ma</v>
      </c>
      <c r="AA169" s="13">
        <f t="shared" si="12"/>
        <v>169</v>
      </c>
    </row>
    <row r="170">
      <c r="I170" s="92" t="s">
        <v>184</v>
      </c>
      <c r="J170" s="94">
        <v>0</v>
      </c>
      <c r="K170" s="123"/>
      <c r="L170" s="120"/>
      <c r="O170" s="121">
        <f t="shared" si="40"/>
        <v>0</v>
      </c>
      <c r="P170" s="122">
        <f t="shared" si="41"/>
        <v>0</v>
      </c>
      <c r="Q170" s="56" t="s">
        <v>184</v>
      </c>
      <c r="R170" s="94">
        <f t="shared" si="15"/>
        <v>0</v>
      </c>
      <c r="S170" s="123">
        <v>0</v>
      </c>
      <c r="T170" s="89" t="s">
        <v>325</v>
      </c>
      <c r="U170" s="78" t="s">
        <v>328</v>
      </c>
      <c r="V170" s="78">
        <v>19.0</v>
      </c>
      <c r="W170" s="78">
        <v>52.0</v>
      </c>
      <c r="X170" s="94">
        <f>X169/60</f>
        <v>29.1</v>
      </c>
      <c r="Z170" s="88" t="str">
        <f t="shared" si="11"/>
        <v>W02 - Ma</v>
      </c>
      <c r="AA170" s="13">
        <f t="shared" si="12"/>
        <v>170</v>
      </c>
    </row>
    <row r="171">
      <c r="I171" s="96" t="s">
        <v>187</v>
      </c>
      <c r="J171" s="129">
        <v>0</v>
      </c>
      <c r="K171" s="130"/>
      <c r="L171" s="124"/>
      <c r="M171" s="125"/>
      <c r="N171" s="125"/>
      <c r="O171" s="126">
        <f t="shared" si="40"/>
        <v>0</v>
      </c>
      <c r="P171" s="127">
        <f t="shared" si="41"/>
        <v>0</v>
      </c>
      <c r="Q171" s="128" t="s">
        <v>187</v>
      </c>
      <c r="R171" s="129">
        <f t="shared" si="15"/>
        <v>0</v>
      </c>
      <c r="S171" s="130">
        <v>0</v>
      </c>
      <c r="T171" s="89" t="s">
        <v>325</v>
      </c>
      <c r="U171" s="78" t="s">
        <v>329</v>
      </c>
      <c r="V171" s="78">
        <v>25.0</v>
      </c>
      <c r="W171" s="78">
        <v>52.0</v>
      </c>
      <c r="Z171" s="88" t="str">
        <f t="shared" si="11"/>
        <v>W02 - Ma</v>
      </c>
      <c r="AA171" s="13">
        <f t="shared" si="12"/>
        <v>171</v>
      </c>
    </row>
    <row r="172">
      <c r="I172" s="90" t="s">
        <v>174</v>
      </c>
      <c r="J172" s="108">
        <f>S172</f>
        <v>0</v>
      </c>
      <c r="K172" s="115"/>
      <c r="L172" s="110" t="s">
        <v>330</v>
      </c>
      <c r="M172" s="111">
        <v>0</v>
      </c>
      <c r="N172" s="111">
        <v>0</v>
      </c>
      <c r="O172" s="112">
        <f t="shared" ref="O172:O178" si="42">MINIFS($AA$95:$AA$441,$Z$95:$Z$441,CONCATENATE(L$172," - ",Q172))</f>
        <v>0</v>
      </c>
      <c r="P172" s="113">
        <f t="shared" ref="P172:P178" si="43">MAXIFS($AA$95:$AA$441,$Z$95:$Z$441,CONCATENATE(L$172," - ",Q172))</f>
        <v>0</v>
      </c>
      <c r="Q172" s="114" t="s">
        <v>174</v>
      </c>
      <c r="R172" s="108">
        <f t="shared" si="15"/>
        <v>0</v>
      </c>
      <c r="S172" s="115">
        <v>0</v>
      </c>
      <c r="T172" s="89" t="s">
        <v>331</v>
      </c>
      <c r="U172" s="78" t="s">
        <v>332</v>
      </c>
      <c r="V172" s="78">
        <v>16.0</v>
      </c>
      <c r="W172" s="78">
        <v>52.0</v>
      </c>
      <c r="Z172" s="88" t="str">
        <f t="shared" si="11"/>
        <v>W02 - Mi</v>
      </c>
      <c r="AA172" s="13">
        <f t="shared" si="12"/>
        <v>172</v>
      </c>
    </row>
    <row r="173">
      <c r="I173" s="92" t="s">
        <v>176</v>
      </c>
      <c r="J173" s="94">
        <v>0</v>
      </c>
      <c r="K173" s="123"/>
      <c r="L173" s="120"/>
      <c r="O173" s="121">
        <f t="shared" si="42"/>
        <v>0</v>
      </c>
      <c r="P173" s="122">
        <f t="shared" si="43"/>
        <v>0</v>
      </c>
      <c r="Q173" s="56" t="s">
        <v>176</v>
      </c>
      <c r="R173" s="94">
        <f t="shared" si="15"/>
        <v>0</v>
      </c>
      <c r="S173" s="123">
        <v>0</v>
      </c>
      <c r="T173" s="89" t="s">
        <v>331</v>
      </c>
      <c r="U173" s="78" t="s">
        <v>333</v>
      </c>
      <c r="V173" s="78">
        <v>22.0</v>
      </c>
      <c r="W173" s="78">
        <v>53.0</v>
      </c>
      <c r="Z173" s="88" t="str">
        <f t="shared" si="11"/>
        <v>W02 - Mi</v>
      </c>
      <c r="AA173" s="13">
        <f t="shared" si="12"/>
        <v>173</v>
      </c>
    </row>
    <row r="174">
      <c r="I174" s="92" t="s">
        <v>178</v>
      </c>
      <c r="J174" s="94">
        <v>0</v>
      </c>
      <c r="K174" s="123"/>
      <c r="L174" s="120"/>
      <c r="O174" s="121">
        <f t="shared" si="42"/>
        <v>0</v>
      </c>
      <c r="P174" s="122">
        <f t="shared" si="43"/>
        <v>0</v>
      </c>
      <c r="Q174" s="56" t="s">
        <v>178</v>
      </c>
      <c r="R174" s="94">
        <f t="shared" si="15"/>
        <v>0</v>
      </c>
      <c r="S174" s="123">
        <v>0</v>
      </c>
      <c r="T174" s="89" t="s">
        <v>331</v>
      </c>
      <c r="U174" s="78" t="s">
        <v>334</v>
      </c>
      <c r="V174" s="78">
        <v>37.0</v>
      </c>
      <c r="W174" s="78">
        <v>53.0</v>
      </c>
      <c r="Z174" s="88" t="str">
        <f t="shared" si="11"/>
        <v>W02 - Mi</v>
      </c>
      <c r="AA174" s="13">
        <f t="shared" si="12"/>
        <v>174</v>
      </c>
    </row>
    <row r="175">
      <c r="I175" s="92" t="s">
        <v>180</v>
      </c>
      <c r="J175" s="94">
        <v>0</v>
      </c>
      <c r="K175" s="123"/>
      <c r="L175" s="120"/>
      <c r="O175" s="121">
        <f t="shared" si="42"/>
        <v>0</v>
      </c>
      <c r="P175" s="122">
        <f t="shared" si="43"/>
        <v>0</v>
      </c>
      <c r="Q175" s="56" t="s">
        <v>180</v>
      </c>
      <c r="R175" s="94">
        <f t="shared" si="15"/>
        <v>0</v>
      </c>
      <c r="S175" s="123">
        <v>0</v>
      </c>
      <c r="T175" s="89" t="s">
        <v>331</v>
      </c>
      <c r="U175" s="78" t="s">
        <v>335</v>
      </c>
      <c r="V175" s="78">
        <v>25.0</v>
      </c>
      <c r="W175" s="78">
        <v>53.0</v>
      </c>
      <c r="Z175" s="88" t="str">
        <f t="shared" si="11"/>
        <v>W02 - Mi</v>
      </c>
      <c r="AA175" s="13">
        <f t="shared" si="12"/>
        <v>175</v>
      </c>
    </row>
    <row r="176">
      <c r="I176" s="92" t="s">
        <v>182</v>
      </c>
      <c r="J176" s="94">
        <v>0</v>
      </c>
      <c r="K176" s="123"/>
      <c r="L176" s="120"/>
      <c r="O176" s="121">
        <f t="shared" si="42"/>
        <v>0</v>
      </c>
      <c r="P176" s="122">
        <f t="shared" si="43"/>
        <v>0</v>
      </c>
      <c r="Q176" s="56" t="s">
        <v>182</v>
      </c>
      <c r="R176" s="94">
        <f t="shared" si="15"/>
        <v>0</v>
      </c>
      <c r="S176" s="123">
        <v>0</v>
      </c>
      <c r="T176" s="89" t="s">
        <v>331</v>
      </c>
      <c r="U176" s="78" t="s">
        <v>336</v>
      </c>
      <c r="V176" s="78">
        <v>18.0</v>
      </c>
      <c r="W176" s="78">
        <v>53.0</v>
      </c>
      <c r="Z176" s="88" t="str">
        <f t="shared" si="11"/>
        <v>W02 - Mi</v>
      </c>
      <c r="AA176" s="13">
        <f t="shared" si="12"/>
        <v>176</v>
      </c>
    </row>
    <row r="177">
      <c r="I177" s="92" t="s">
        <v>184</v>
      </c>
      <c r="J177" s="94">
        <v>0</v>
      </c>
      <c r="K177" s="123"/>
      <c r="L177" s="120"/>
      <c r="O177" s="121">
        <f t="shared" si="42"/>
        <v>0</v>
      </c>
      <c r="P177" s="122">
        <f t="shared" si="43"/>
        <v>0</v>
      </c>
      <c r="Q177" s="56" t="s">
        <v>184</v>
      </c>
      <c r="R177" s="94">
        <f t="shared" si="15"/>
        <v>0</v>
      </c>
      <c r="S177" s="123">
        <v>0</v>
      </c>
      <c r="T177" s="89" t="s">
        <v>331</v>
      </c>
      <c r="U177" s="78" t="s">
        <v>337</v>
      </c>
      <c r="V177" s="78">
        <v>22.0</v>
      </c>
      <c r="W177" s="78">
        <v>53.0</v>
      </c>
      <c r="Z177" s="88" t="str">
        <f t="shared" si="11"/>
        <v>W02 - Mi</v>
      </c>
      <c r="AA177" s="13">
        <f t="shared" si="12"/>
        <v>177</v>
      </c>
    </row>
    <row r="178">
      <c r="I178" s="96" t="s">
        <v>187</v>
      </c>
      <c r="J178" s="129">
        <v>0</v>
      </c>
      <c r="K178" s="130"/>
      <c r="L178" s="124"/>
      <c r="M178" s="125"/>
      <c r="N178" s="125"/>
      <c r="O178" s="126">
        <f t="shared" si="42"/>
        <v>0</v>
      </c>
      <c r="P178" s="127">
        <f t="shared" si="43"/>
        <v>0</v>
      </c>
      <c r="Q178" s="128" t="s">
        <v>187</v>
      </c>
      <c r="R178" s="129">
        <f t="shared" si="15"/>
        <v>0</v>
      </c>
      <c r="S178" s="130">
        <v>0</v>
      </c>
      <c r="T178" s="89" t="s">
        <v>331</v>
      </c>
      <c r="U178" s="78" t="s">
        <v>338</v>
      </c>
      <c r="V178" s="78">
        <v>20.0</v>
      </c>
      <c r="W178" s="78">
        <v>53.0</v>
      </c>
      <c r="Z178" s="88" t="str">
        <f t="shared" si="11"/>
        <v>W02 - Mi</v>
      </c>
      <c r="AA178" s="13">
        <f t="shared" si="12"/>
        <v>178</v>
      </c>
    </row>
    <row r="179">
      <c r="I179" s="11"/>
      <c r="J179" s="11"/>
      <c r="K179" s="117"/>
      <c r="T179" s="89" t="s">
        <v>331</v>
      </c>
      <c r="U179" s="78" t="s">
        <v>339</v>
      </c>
      <c r="V179" s="78">
        <v>22.0</v>
      </c>
      <c r="W179" s="78">
        <v>53.0</v>
      </c>
      <c r="Z179" s="88" t="str">
        <f t="shared" si="11"/>
        <v>W02 - Mi</v>
      </c>
      <c r="AA179" s="13">
        <f t="shared" si="12"/>
        <v>179</v>
      </c>
    </row>
    <row r="180">
      <c r="I180" s="11"/>
      <c r="J180" s="11"/>
      <c r="K180" s="117"/>
      <c r="T180" s="89" t="s">
        <v>331</v>
      </c>
      <c r="U180" s="78" t="s">
        <v>340</v>
      </c>
      <c r="V180" s="78">
        <v>60.0</v>
      </c>
      <c r="W180" s="78">
        <v>53.0</v>
      </c>
      <c r="Z180" s="88" t="str">
        <f t="shared" si="11"/>
        <v>W02 - Mi</v>
      </c>
      <c r="AA180" s="13">
        <f t="shared" si="12"/>
        <v>180</v>
      </c>
    </row>
    <row r="181">
      <c r="I181" s="11"/>
      <c r="J181" s="11"/>
      <c r="K181" s="117"/>
      <c r="T181" s="89" t="s">
        <v>341</v>
      </c>
      <c r="U181" s="78" t="s">
        <v>342</v>
      </c>
      <c r="V181" s="78">
        <v>24.0</v>
      </c>
      <c r="W181" s="78">
        <v>53.0</v>
      </c>
      <c r="Z181" s="88" t="str">
        <f t="shared" si="11"/>
        <v>W02 - Ju</v>
      </c>
      <c r="AA181" s="13">
        <f t="shared" si="12"/>
        <v>181</v>
      </c>
    </row>
    <row r="182">
      <c r="I182" s="11"/>
      <c r="J182" s="11"/>
      <c r="K182" s="117"/>
      <c r="T182" s="89" t="s">
        <v>341</v>
      </c>
      <c r="U182" s="78" t="s">
        <v>343</v>
      </c>
      <c r="V182" s="78">
        <v>76.0</v>
      </c>
      <c r="W182" s="78">
        <v>54.0</v>
      </c>
      <c r="Z182" s="88" t="str">
        <f t="shared" si="11"/>
        <v>W02 - Ju</v>
      </c>
      <c r="AA182" s="13">
        <f t="shared" si="12"/>
        <v>182</v>
      </c>
    </row>
    <row r="183">
      <c r="I183" s="11"/>
      <c r="J183" s="11"/>
      <c r="K183" s="117"/>
      <c r="T183" s="89" t="s">
        <v>341</v>
      </c>
      <c r="U183" s="78" t="s">
        <v>344</v>
      </c>
      <c r="V183" s="78">
        <v>53.0</v>
      </c>
      <c r="W183" s="78">
        <v>54.0</v>
      </c>
      <c r="Z183" s="88" t="str">
        <f t="shared" si="11"/>
        <v>W02 - Ju</v>
      </c>
      <c r="AA183" s="13">
        <f t="shared" si="12"/>
        <v>183</v>
      </c>
    </row>
    <row r="184">
      <c r="I184" s="11"/>
      <c r="J184" s="11"/>
      <c r="K184" s="117"/>
      <c r="T184" s="131"/>
      <c r="U184" s="78"/>
      <c r="V184" s="11"/>
      <c r="W184" s="11"/>
      <c r="Z184" s="88" t="str">
        <f t="shared" si="11"/>
        <v> - </v>
      </c>
      <c r="AA184" s="13">
        <f t="shared" si="12"/>
        <v>184</v>
      </c>
    </row>
    <row r="185">
      <c r="I185" s="11"/>
      <c r="J185" s="11"/>
      <c r="K185" s="117"/>
      <c r="T185" s="89" t="s">
        <v>341</v>
      </c>
      <c r="U185" s="78" t="s">
        <v>345</v>
      </c>
      <c r="V185" s="78">
        <v>7.0</v>
      </c>
      <c r="W185" s="78">
        <v>54.0</v>
      </c>
      <c r="X185" s="78" t="s">
        <v>130</v>
      </c>
      <c r="Z185" s="88" t="str">
        <f t="shared" si="11"/>
        <v>W02 - Ju</v>
      </c>
      <c r="AA185" s="13">
        <f t="shared" si="12"/>
        <v>185</v>
      </c>
    </row>
    <row r="186">
      <c r="I186" s="11"/>
      <c r="J186" s="117"/>
      <c r="K186" s="117"/>
      <c r="T186" s="89" t="s">
        <v>341</v>
      </c>
      <c r="U186" s="78" t="s">
        <v>346</v>
      </c>
      <c r="V186" s="78">
        <v>14.0</v>
      </c>
      <c r="W186" s="78">
        <v>54.0</v>
      </c>
      <c r="X186" s="11">
        <f>SUM(V185:V207)</f>
        <v>651</v>
      </c>
      <c r="Z186" s="88" t="str">
        <f t="shared" si="11"/>
        <v>W02 - Ju</v>
      </c>
      <c r="AA186" s="13">
        <f t="shared" si="12"/>
        <v>186</v>
      </c>
    </row>
    <row r="187">
      <c r="I187" s="11"/>
      <c r="J187" s="117"/>
      <c r="K187" s="117"/>
      <c r="T187" s="89" t="s">
        <v>341</v>
      </c>
      <c r="U187" s="78" t="s">
        <v>347</v>
      </c>
      <c r="V187" s="78">
        <v>33.0</v>
      </c>
      <c r="W187" s="78">
        <v>54.0</v>
      </c>
      <c r="X187" s="94">
        <f>X186/60</f>
        <v>10.85</v>
      </c>
      <c r="Z187" s="88" t="str">
        <f t="shared" si="11"/>
        <v>W02 - Ju</v>
      </c>
      <c r="AA187" s="13">
        <f t="shared" si="12"/>
        <v>187</v>
      </c>
    </row>
    <row r="188">
      <c r="I188" s="11"/>
      <c r="J188" s="117"/>
      <c r="K188" s="117"/>
      <c r="T188" s="131"/>
      <c r="U188" s="78"/>
      <c r="V188" s="78"/>
      <c r="W188" s="11"/>
      <c r="Z188" s="88" t="str">
        <f t="shared" si="11"/>
        <v> - </v>
      </c>
      <c r="AA188" s="13">
        <f t="shared" si="12"/>
        <v>188</v>
      </c>
    </row>
    <row r="189">
      <c r="I189" s="11"/>
      <c r="J189" s="117"/>
      <c r="K189" s="117"/>
      <c r="T189" s="89" t="s">
        <v>341</v>
      </c>
      <c r="U189" s="78" t="s">
        <v>348</v>
      </c>
      <c r="V189" s="78">
        <v>42.0</v>
      </c>
      <c r="W189" s="78">
        <v>54.0</v>
      </c>
      <c r="X189" s="78"/>
      <c r="Z189" s="88" t="str">
        <f t="shared" si="11"/>
        <v>W02 - Ju</v>
      </c>
      <c r="AA189" s="13">
        <f t="shared" si="12"/>
        <v>189</v>
      </c>
    </row>
    <row r="190">
      <c r="I190" s="11"/>
      <c r="J190" s="117"/>
      <c r="K190" s="117"/>
      <c r="T190" s="89" t="s">
        <v>341</v>
      </c>
      <c r="U190" s="78" t="s">
        <v>349</v>
      </c>
      <c r="V190" s="78">
        <v>42.0</v>
      </c>
      <c r="W190" s="78">
        <v>55.0</v>
      </c>
      <c r="X190" s="11"/>
      <c r="Z190" s="88" t="str">
        <f t="shared" si="11"/>
        <v>W02 - Ju</v>
      </c>
      <c r="AA190" s="13">
        <f t="shared" si="12"/>
        <v>190</v>
      </c>
    </row>
    <row r="191">
      <c r="I191" s="11"/>
      <c r="J191" s="117"/>
      <c r="K191" s="117"/>
      <c r="T191" s="89" t="s">
        <v>341</v>
      </c>
      <c r="U191" s="78" t="s">
        <v>350</v>
      </c>
      <c r="V191" s="78">
        <v>22.0</v>
      </c>
      <c r="W191" s="78">
        <v>55.0</v>
      </c>
      <c r="X191" s="94"/>
      <c r="Z191" s="88" t="str">
        <f t="shared" si="11"/>
        <v>W02 - Ju</v>
      </c>
      <c r="AA191" s="13">
        <f t="shared" si="12"/>
        <v>191</v>
      </c>
    </row>
    <row r="192">
      <c r="I192" s="11"/>
      <c r="J192" s="117"/>
      <c r="K192" s="117"/>
      <c r="T192" s="89" t="s">
        <v>341</v>
      </c>
      <c r="U192" s="78" t="s">
        <v>351</v>
      </c>
      <c r="V192" s="78">
        <v>26.0</v>
      </c>
      <c r="W192" s="78">
        <v>55.0</v>
      </c>
      <c r="Z192" s="88" t="str">
        <f t="shared" si="11"/>
        <v>W02 - Ju</v>
      </c>
      <c r="AA192" s="13">
        <f t="shared" si="12"/>
        <v>192</v>
      </c>
    </row>
    <row r="193">
      <c r="I193" s="11"/>
      <c r="J193" s="117"/>
      <c r="K193" s="117"/>
      <c r="T193" s="89" t="s">
        <v>341</v>
      </c>
      <c r="U193" s="78" t="s">
        <v>352</v>
      </c>
      <c r="V193" s="78">
        <v>26.0</v>
      </c>
      <c r="W193" s="78">
        <v>55.0</v>
      </c>
      <c r="Z193" s="88" t="str">
        <f t="shared" si="11"/>
        <v>W02 - Ju</v>
      </c>
      <c r="AA193" s="13">
        <f t="shared" si="12"/>
        <v>193</v>
      </c>
    </row>
    <row r="194">
      <c r="I194" s="11"/>
      <c r="J194" s="11"/>
      <c r="K194" s="11"/>
      <c r="T194" s="89" t="s">
        <v>341</v>
      </c>
      <c r="U194" s="78" t="s">
        <v>353</v>
      </c>
      <c r="V194" s="78">
        <v>30.0</v>
      </c>
      <c r="W194" s="78">
        <v>55.0</v>
      </c>
      <c r="Z194" s="88" t="str">
        <f t="shared" si="11"/>
        <v>W02 - Ju</v>
      </c>
      <c r="AA194" s="13">
        <f t="shared" si="12"/>
        <v>194</v>
      </c>
    </row>
    <row r="195">
      <c r="I195" s="11"/>
      <c r="J195" s="11"/>
      <c r="K195" s="11"/>
      <c r="T195" s="89" t="s">
        <v>341</v>
      </c>
      <c r="U195" s="78" t="s">
        <v>354</v>
      </c>
      <c r="V195" s="78">
        <v>30.0</v>
      </c>
      <c r="W195" s="78">
        <v>55.0</v>
      </c>
      <c r="Z195" s="88" t="str">
        <f t="shared" si="11"/>
        <v>W02 - Ju</v>
      </c>
      <c r="AA195" s="13">
        <f t="shared" si="12"/>
        <v>195</v>
      </c>
    </row>
    <row r="196">
      <c r="I196" s="11"/>
      <c r="J196" s="11"/>
      <c r="K196" s="11"/>
      <c r="T196" s="89" t="s">
        <v>341</v>
      </c>
      <c r="U196" s="78" t="s">
        <v>355</v>
      </c>
      <c r="V196" s="78">
        <v>24.0</v>
      </c>
      <c r="W196" s="78">
        <v>55.0</v>
      </c>
      <c r="Z196" s="88" t="str">
        <f t="shared" si="11"/>
        <v>W02 - Ju</v>
      </c>
      <c r="AA196" s="13">
        <f t="shared" si="12"/>
        <v>196</v>
      </c>
    </row>
    <row r="197">
      <c r="I197" s="11"/>
      <c r="J197" s="11"/>
      <c r="K197" s="11"/>
      <c r="T197" s="89" t="s">
        <v>341</v>
      </c>
      <c r="U197" s="78" t="s">
        <v>356</v>
      </c>
      <c r="V197" s="78">
        <v>24.0</v>
      </c>
      <c r="W197" s="78">
        <v>55.0</v>
      </c>
      <c r="Z197" s="88" t="str">
        <f t="shared" si="11"/>
        <v>W02 - Ju</v>
      </c>
      <c r="AA197" s="13">
        <f t="shared" si="12"/>
        <v>197</v>
      </c>
    </row>
    <row r="198">
      <c r="I198" s="11"/>
      <c r="J198" s="11"/>
      <c r="K198" s="11"/>
      <c r="T198" s="89" t="s">
        <v>341</v>
      </c>
      <c r="U198" s="78" t="s">
        <v>357</v>
      </c>
      <c r="V198" s="78">
        <v>20.0</v>
      </c>
      <c r="W198" s="78">
        <v>56.0</v>
      </c>
      <c r="Z198" s="88" t="str">
        <f t="shared" si="11"/>
        <v>W02 - Ju</v>
      </c>
      <c r="AA198" s="13">
        <f t="shared" si="12"/>
        <v>198</v>
      </c>
    </row>
    <row r="199">
      <c r="I199" s="11"/>
      <c r="J199" s="11"/>
      <c r="K199" s="11"/>
      <c r="T199" s="89" t="s">
        <v>341</v>
      </c>
      <c r="U199" s="78" t="s">
        <v>358</v>
      </c>
      <c r="V199" s="78">
        <v>36.0</v>
      </c>
      <c r="W199" s="78">
        <v>56.0</v>
      </c>
      <c r="Z199" s="88" t="str">
        <f t="shared" si="11"/>
        <v>W02 - Ju</v>
      </c>
      <c r="AA199" s="13">
        <f t="shared" si="12"/>
        <v>199</v>
      </c>
    </row>
    <row r="200">
      <c r="I200" s="11"/>
      <c r="J200" s="11"/>
      <c r="K200" s="11"/>
      <c r="T200" s="89" t="s">
        <v>359</v>
      </c>
      <c r="U200" s="78" t="s">
        <v>360</v>
      </c>
      <c r="V200" s="78">
        <v>36.0</v>
      </c>
      <c r="W200" s="78">
        <v>56.0</v>
      </c>
      <c r="Z200" s="88" t="str">
        <f t="shared" si="11"/>
        <v>W02 - Vi</v>
      </c>
      <c r="AA200" s="13">
        <f t="shared" si="12"/>
        <v>200</v>
      </c>
    </row>
    <row r="201">
      <c r="I201" s="11"/>
      <c r="J201" s="11"/>
      <c r="K201" s="11"/>
      <c r="T201" s="89" t="s">
        <v>359</v>
      </c>
      <c r="U201" s="78" t="s">
        <v>361</v>
      </c>
      <c r="V201" s="78">
        <v>45.0</v>
      </c>
      <c r="W201" s="78">
        <v>56.0</v>
      </c>
      <c r="Z201" s="88" t="str">
        <f t="shared" si="11"/>
        <v>W02 - Vi</v>
      </c>
      <c r="AA201" s="13">
        <f t="shared" si="12"/>
        <v>201</v>
      </c>
    </row>
    <row r="202">
      <c r="I202" s="11"/>
      <c r="J202" s="11"/>
      <c r="K202" s="11"/>
      <c r="T202" s="89" t="s">
        <v>359</v>
      </c>
      <c r="U202" s="78" t="s">
        <v>362</v>
      </c>
      <c r="V202" s="78">
        <v>45.0</v>
      </c>
      <c r="W202" s="78">
        <v>57.0</v>
      </c>
      <c r="Z202" s="88" t="str">
        <f t="shared" si="11"/>
        <v>W02 - Vi</v>
      </c>
      <c r="AA202" s="13">
        <f t="shared" si="12"/>
        <v>202</v>
      </c>
    </row>
    <row r="203">
      <c r="I203" s="11"/>
      <c r="J203" s="11"/>
      <c r="K203" s="11"/>
      <c r="T203" s="89" t="s">
        <v>359</v>
      </c>
      <c r="U203" s="78" t="s">
        <v>363</v>
      </c>
      <c r="V203" s="78">
        <v>25.0</v>
      </c>
      <c r="W203" s="78">
        <v>57.0</v>
      </c>
      <c r="Z203" s="88" t="str">
        <f t="shared" si="11"/>
        <v>W02 - Vi</v>
      </c>
      <c r="AA203" s="13">
        <f t="shared" si="12"/>
        <v>203</v>
      </c>
    </row>
    <row r="204">
      <c r="I204" s="11"/>
      <c r="J204" s="11"/>
      <c r="K204" s="11"/>
      <c r="T204" s="89" t="s">
        <v>359</v>
      </c>
      <c r="U204" s="78" t="s">
        <v>364</v>
      </c>
      <c r="V204" s="78">
        <v>36.0</v>
      </c>
      <c r="W204" s="78">
        <v>57.0</v>
      </c>
      <c r="Z204" s="88" t="str">
        <f t="shared" si="11"/>
        <v>W02 - Vi</v>
      </c>
      <c r="AA204" s="13">
        <f t="shared" si="12"/>
        <v>204</v>
      </c>
    </row>
    <row r="205">
      <c r="I205" s="11"/>
      <c r="J205" s="11"/>
      <c r="K205" s="11"/>
      <c r="T205" s="89" t="s">
        <v>359</v>
      </c>
      <c r="U205" s="78" t="s">
        <v>365</v>
      </c>
      <c r="V205" s="78">
        <v>46.0</v>
      </c>
      <c r="W205" s="78">
        <v>57.0</v>
      </c>
      <c r="Z205" s="88" t="str">
        <f t="shared" si="11"/>
        <v>W02 - Vi</v>
      </c>
      <c r="AA205" s="13">
        <f t="shared" si="12"/>
        <v>205</v>
      </c>
    </row>
    <row r="206">
      <c r="I206" s="11"/>
      <c r="J206" s="11"/>
      <c r="K206" s="11"/>
      <c r="T206" s="89" t="s">
        <v>359</v>
      </c>
      <c r="U206" s="78" t="s">
        <v>366</v>
      </c>
      <c r="V206" s="78">
        <v>20.0</v>
      </c>
      <c r="W206" s="78">
        <v>57.0</v>
      </c>
      <c r="Z206" s="88" t="str">
        <f t="shared" si="11"/>
        <v>W02 - Vi</v>
      </c>
      <c r="AA206" s="13">
        <f t="shared" si="12"/>
        <v>206</v>
      </c>
    </row>
    <row r="207">
      <c r="I207" s="11"/>
      <c r="J207" s="11"/>
      <c r="K207" s="11"/>
      <c r="T207" s="89" t="s">
        <v>359</v>
      </c>
      <c r="U207" s="78" t="s">
        <v>367</v>
      </c>
      <c r="V207" s="78">
        <v>22.0</v>
      </c>
      <c r="W207" s="78">
        <v>57.0</v>
      </c>
      <c r="Z207" s="88" t="str">
        <f t="shared" si="11"/>
        <v>W02 - Vi</v>
      </c>
      <c r="AA207" s="13">
        <f t="shared" si="12"/>
        <v>207</v>
      </c>
    </row>
    <row r="208">
      <c r="I208" s="11"/>
      <c r="J208" s="11"/>
      <c r="K208" s="11"/>
      <c r="T208" s="131"/>
      <c r="U208" s="11"/>
      <c r="V208" s="11"/>
      <c r="W208" s="11"/>
      <c r="Z208" s="88" t="str">
        <f t="shared" si="11"/>
        <v> - </v>
      </c>
      <c r="AA208" s="13">
        <f t="shared" si="12"/>
        <v>208</v>
      </c>
    </row>
    <row r="209">
      <c r="I209" s="11"/>
      <c r="J209" s="11"/>
      <c r="K209" s="11"/>
      <c r="T209" s="89" t="s">
        <v>359</v>
      </c>
      <c r="U209" s="78" t="s">
        <v>368</v>
      </c>
      <c r="V209" s="78">
        <v>3.0</v>
      </c>
      <c r="W209" s="78">
        <v>57.0</v>
      </c>
      <c r="X209" s="78" t="s">
        <v>130</v>
      </c>
      <c r="Z209" s="88" t="str">
        <f t="shared" si="11"/>
        <v>W02 - Vi</v>
      </c>
      <c r="AA209" s="13">
        <f t="shared" si="12"/>
        <v>209</v>
      </c>
    </row>
    <row r="210">
      <c r="I210" s="11"/>
      <c r="J210" s="11"/>
      <c r="K210" s="11"/>
      <c r="T210" s="89" t="s">
        <v>359</v>
      </c>
      <c r="U210" s="78" t="s">
        <v>369</v>
      </c>
      <c r="V210" s="78">
        <v>15.0</v>
      </c>
      <c r="W210" s="78">
        <v>58.0</v>
      </c>
      <c r="X210" s="11">
        <f>SUM(V209:V225)</f>
        <v>303</v>
      </c>
      <c r="Z210" s="88" t="str">
        <f t="shared" si="11"/>
        <v>W02 - Vi</v>
      </c>
      <c r="AA210" s="13">
        <f t="shared" si="12"/>
        <v>210</v>
      </c>
    </row>
    <row r="211">
      <c r="I211" s="11"/>
      <c r="J211" s="11"/>
      <c r="K211" s="11"/>
      <c r="T211" s="89" t="s">
        <v>359</v>
      </c>
      <c r="U211" s="78" t="s">
        <v>370</v>
      </c>
      <c r="V211" s="78">
        <v>9.0</v>
      </c>
      <c r="W211" s="78">
        <v>58.0</v>
      </c>
      <c r="X211" s="94">
        <f>X210/60</f>
        <v>5.05</v>
      </c>
      <c r="Z211" s="88" t="str">
        <f t="shared" si="11"/>
        <v>W02 - Vi</v>
      </c>
      <c r="AA211" s="13">
        <f t="shared" si="12"/>
        <v>211</v>
      </c>
    </row>
    <row r="212">
      <c r="I212" s="11"/>
      <c r="J212" s="11"/>
      <c r="K212" s="11"/>
      <c r="T212" s="89" t="s">
        <v>359</v>
      </c>
      <c r="U212" s="78" t="s">
        <v>371</v>
      </c>
      <c r="V212" s="78">
        <v>20.0</v>
      </c>
      <c r="W212" s="78">
        <v>58.0</v>
      </c>
      <c r="X212" s="11"/>
      <c r="Z212" s="88" t="str">
        <f t="shared" si="11"/>
        <v>W02 - Vi</v>
      </c>
      <c r="AA212" s="13">
        <f t="shared" si="12"/>
        <v>212</v>
      </c>
    </row>
    <row r="213">
      <c r="I213" s="11"/>
      <c r="J213" s="11"/>
      <c r="K213" s="11"/>
      <c r="T213" s="89" t="s">
        <v>359</v>
      </c>
      <c r="U213" s="78" t="s">
        <v>372</v>
      </c>
      <c r="V213" s="78">
        <v>5.0</v>
      </c>
      <c r="W213" s="78">
        <v>58.0</v>
      </c>
      <c r="X213" s="11"/>
      <c r="Z213" s="88" t="str">
        <f t="shared" si="11"/>
        <v>W02 - Vi</v>
      </c>
      <c r="AA213" s="13">
        <f t="shared" si="12"/>
        <v>213</v>
      </c>
    </row>
    <row r="214">
      <c r="I214" s="11"/>
      <c r="J214" s="11"/>
      <c r="K214" s="11"/>
      <c r="T214" s="89" t="s">
        <v>373</v>
      </c>
      <c r="U214" s="78" t="s">
        <v>374</v>
      </c>
      <c r="V214" s="78">
        <v>8.0</v>
      </c>
      <c r="W214" s="78">
        <v>58.0</v>
      </c>
      <c r="X214" s="11"/>
      <c r="Z214" s="88" t="str">
        <f t="shared" si="11"/>
        <v>W02 - Sa</v>
      </c>
      <c r="AA214" s="13">
        <f t="shared" si="12"/>
        <v>214</v>
      </c>
    </row>
    <row r="215">
      <c r="I215" s="11"/>
      <c r="J215" s="11"/>
      <c r="K215" s="11"/>
      <c r="T215" s="89" t="s">
        <v>373</v>
      </c>
      <c r="U215" s="78" t="s">
        <v>375</v>
      </c>
      <c r="V215" s="78">
        <v>11.0</v>
      </c>
      <c r="W215" s="78">
        <v>58.0</v>
      </c>
      <c r="X215" s="11"/>
      <c r="Z215" s="88" t="str">
        <f t="shared" si="11"/>
        <v>W02 - Sa</v>
      </c>
      <c r="AA215" s="13">
        <f t="shared" si="12"/>
        <v>215</v>
      </c>
    </row>
    <row r="216">
      <c r="I216" s="11"/>
      <c r="J216" s="11"/>
      <c r="K216" s="11"/>
      <c r="T216" s="89" t="s">
        <v>373</v>
      </c>
      <c r="U216" s="78" t="s">
        <v>376</v>
      </c>
      <c r="V216" s="78">
        <v>18.0</v>
      </c>
      <c r="W216" s="78">
        <v>58.0</v>
      </c>
      <c r="X216" s="11"/>
      <c r="Z216" s="88" t="str">
        <f t="shared" si="11"/>
        <v>W02 - Sa</v>
      </c>
      <c r="AA216" s="13">
        <f t="shared" si="12"/>
        <v>216</v>
      </c>
    </row>
    <row r="217">
      <c r="I217" s="11"/>
      <c r="J217" s="11"/>
      <c r="K217" s="11"/>
      <c r="T217" s="89" t="s">
        <v>373</v>
      </c>
      <c r="U217" s="78" t="s">
        <v>377</v>
      </c>
      <c r="V217" s="78">
        <v>7.0</v>
      </c>
      <c r="W217" s="142">
        <v>59.0</v>
      </c>
      <c r="X217" s="11"/>
      <c r="Z217" s="88" t="str">
        <f t="shared" si="11"/>
        <v>W02 - Sa</v>
      </c>
      <c r="AA217" s="13">
        <f t="shared" si="12"/>
        <v>217</v>
      </c>
    </row>
    <row r="218">
      <c r="I218" s="11"/>
      <c r="J218" s="11"/>
      <c r="K218" s="11"/>
      <c r="T218" s="89" t="s">
        <v>373</v>
      </c>
      <c r="U218" s="78" t="s">
        <v>378</v>
      </c>
      <c r="V218" s="78">
        <v>20.0</v>
      </c>
      <c r="W218" s="78">
        <v>59.0</v>
      </c>
      <c r="X218" s="11"/>
      <c r="Z218" s="88" t="str">
        <f t="shared" si="11"/>
        <v>W02 - Sa</v>
      </c>
      <c r="AA218" s="13">
        <f t="shared" si="12"/>
        <v>218</v>
      </c>
    </row>
    <row r="219">
      <c r="I219" s="11"/>
      <c r="J219" s="11"/>
      <c r="K219" s="11"/>
      <c r="T219" s="89" t="s">
        <v>373</v>
      </c>
      <c r="U219" s="78" t="s">
        <v>379</v>
      </c>
      <c r="V219" s="78">
        <v>8.0</v>
      </c>
      <c r="W219" s="78">
        <v>59.0</v>
      </c>
      <c r="X219" s="11"/>
      <c r="Z219" s="88" t="str">
        <f t="shared" si="11"/>
        <v>W02 - Sa</v>
      </c>
      <c r="AA219" s="13">
        <f t="shared" si="12"/>
        <v>219</v>
      </c>
    </row>
    <row r="220">
      <c r="I220" s="11"/>
      <c r="J220" s="11"/>
      <c r="K220" s="11"/>
      <c r="T220" s="89" t="s">
        <v>373</v>
      </c>
      <c r="U220" s="78" t="s">
        <v>380</v>
      </c>
      <c r="V220" s="78">
        <v>7.0</v>
      </c>
      <c r="W220" s="78">
        <v>59.0</v>
      </c>
      <c r="X220" s="11"/>
      <c r="Z220" s="88" t="str">
        <f t="shared" si="11"/>
        <v>W02 - Sa</v>
      </c>
      <c r="AA220" s="13">
        <f t="shared" si="12"/>
        <v>220</v>
      </c>
    </row>
    <row r="221">
      <c r="I221" s="11"/>
      <c r="J221" s="11"/>
      <c r="K221" s="11"/>
      <c r="T221" s="89" t="s">
        <v>373</v>
      </c>
      <c r="U221" s="78" t="s">
        <v>381</v>
      </c>
      <c r="V221" s="78">
        <v>26.0</v>
      </c>
      <c r="W221" s="78">
        <v>60.0</v>
      </c>
      <c r="X221" s="11"/>
      <c r="Z221" s="88" t="str">
        <f t="shared" si="11"/>
        <v>W02 - Sa</v>
      </c>
      <c r="AA221" s="13">
        <f t="shared" si="12"/>
        <v>221</v>
      </c>
    </row>
    <row r="222">
      <c r="I222" s="11"/>
      <c r="J222" s="11"/>
      <c r="K222" s="11"/>
      <c r="T222" s="89" t="s">
        <v>373</v>
      </c>
      <c r="U222" s="78" t="s">
        <v>382</v>
      </c>
      <c r="V222" s="78">
        <v>11.0</v>
      </c>
      <c r="W222" s="78">
        <v>60.0</v>
      </c>
      <c r="X222" s="11"/>
      <c r="Z222" s="88" t="str">
        <f t="shared" si="11"/>
        <v>W02 - Sa</v>
      </c>
      <c r="AA222" s="13">
        <f t="shared" si="12"/>
        <v>222</v>
      </c>
    </row>
    <row r="223">
      <c r="I223" s="11"/>
      <c r="J223" s="11"/>
      <c r="K223" s="11"/>
      <c r="T223" s="89" t="s">
        <v>373</v>
      </c>
      <c r="U223" s="78" t="s">
        <v>383</v>
      </c>
      <c r="V223" s="78">
        <v>45.0</v>
      </c>
      <c r="W223" s="78">
        <v>60.0</v>
      </c>
      <c r="X223" s="11"/>
      <c r="Z223" s="88" t="str">
        <f t="shared" si="11"/>
        <v>W02 - Sa</v>
      </c>
      <c r="AA223" s="13">
        <f t="shared" si="12"/>
        <v>223</v>
      </c>
    </row>
    <row r="224">
      <c r="I224" s="11"/>
      <c r="J224" s="11"/>
      <c r="K224" s="11"/>
      <c r="T224" s="89" t="s">
        <v>373</v>
      </c>
      <c r="U224" s="78" t="s">
        <v>384</v>
      </c>
      <c r="V224" s="78">
        <v>20.0</v>
      </c>
      <c r="W224" s="78">
        <v>60.0</v>
      </c>
      <c r="X224" s="11"/>
      <c r="Z224" s="88" t="str">
        <f t="shared" si="11"/>
        <v>W02 - Sa</v>
      </c>
      <c r="AA224" s="13">
        <f t="shared" si="12"/>
        <v>224</v>
      </c>
    </row>
    <row r="225">
      <c r="I225" s="11"/>
      <c r="J225" s="11"/>
      <c r="K225" s="11"/>
      <c r="T225" s="89" t="s">
        <v>373</v>
      </c>
      <c r="U225" s="78" t="s">
        <v>385</v>
      </c>
      <c r="V225" s="78">
        <v>70.0</v>
      </c>
      <c r="W225" s="78">
        <v>60.0</v>
      </c>
      <c r="X225" s="11"/>
      <c r="Z225" s="88" t="str">
        <f t="shared" si="11"/>
        <v>W02 - Sa</v>
      </c>
      <c r="AA225" s="13">
        <f t="shared" si="12"/>
        <v>225</v>
      </c>
    </row>
    <row r="226">
      <c r="I226" s="11"/>
      <c r="J226" s="11"/>
      <c r="K226" s="11"/>
      <c r="T226" s="143"/>
      <c r="U226" s="11"/>
      <c r="V226" s="11"/>
      <c r="W226" s="11"/>
      <c r="X226" s="11"/>
      <c r="Z226" s="88" t="str">
        <f t="shared" si="11"/>
        <v> - </v>
      </c>
      <c r="AA226" s="13">
        <f t="shared" si="12"/>
        <v>226</v>
      </c>
    </row>
    <row r="227">
      <c r="I227" s="11"/>
      <c r="J227" s="11"/>
      <c r="K227" s="11"/>
      <c r="T227" s="89" t="s">
        <v>373</v>
      </c>
      <c r="U227" s="78" t="s">
        <v>386</v>
      </c>
      <c r="V227" s="78">
        <v>4.0</v>
      </c>
      <c r="W227" s="78">
        <v>60.0</v>
      </c>
      <c r="X227" s="78" t="s">
        <v>130</v>
      </c>
      <c r="Z227" s="88" t="str">
        <f t="shared" si="11"/>
        <v>W02 - Sa</v>
      </c>
      <c r="AA227" s="13">
        <f t="shared" si="12"/>
        <v>227</v>
      </c>
    </row>
    <row r="228">
      <c r="I228" s="11"/>
      <c r="J228" s="11"/>
      <c r="K228" s="11"/>
      <c r="T228" s="89" t="s">
        <v>373</v>
      </c>
      <c r="U228" s="78" t="s">
        <v>387</v>
      </c>
      <c r="V228" s="78">
        <v>43.0</v>
      </c>
      <c r="W228" s="78">
        <v>61.0</v>
      </c>
      <c r="X228" s="11">
        <f>SUM(V227:V229)</f>
        <v>69</v>
      </c>
      <c r="Z228" s="88" t="str">
        <f t="shared" si="11"/>
        <v>W02 - Sa</v>
      </c>
      <c r="AA228" s="13">
        <f t="shared" si="12"/>
        <v>228</v>
      </c>
    </row>
    <row r="229">
      <c r="I229" s="11"/>
      <c r="J229" s="11"/>
      <c r="K229" s="11"/>
      <c r="S229" s="56" t="s">
        <v>388</v>
      </c>
      <c r="T229" s="89" t="s">
        <v>373</v>
      </c>
      <c r="U229" s="78" t="s">
        <v>389</v>
      </c>
      <c r="V229" s="78">
        <v>22.0</v>
      </c>
      <c r="W229" s="78">
        <v>61.0</v>
      </c>
      <c r="X229" s="94">
        <f>X228/60</f>
        <v>1.15</v>
      </c>
      <c r="Z229" s="88" t="str">
        <f t="shared" si="11"/>
        <v>W02 - Sa</v>
      </c>
      <c r="AA229" s="13">
        <f t="shared" si="12"/>
        <v>229</v>
      </c>
    </row>
    <row r="230">
      <c r="I230" s="11"/>
      <c r="J230" s="11"/>
      <c r="K230" s="11"/>
      <c r="T230" s="143"/>
      <c r="U230" s="11"/>
      <c r="V230" s="11"/>
      <c r="W230" s="11"/>
      <c r="X230" s="11"/>
      <c r="Z230" s="88" t="str">
        <f t="shared" si="11"/>
        <v> - </v>
      </c>
      <c r="AA230" s="13">
        <f t="shared" si="12"/>
        <v>230</v>
      </c>
    </row>
    <row r="231">
      <c r="I231" s="11"/>
      <c r="J231" s="11"/>
      <c r="K231" s="11"/>
      <c r="T231" s="144"/>
      <c r="U231" s="78" t="s">
        <v>390</v>
      </c>
      <c r="V231" s="78">
        <v>2.0</v>
      </c>
      <c r="W231" s="11"/>
      <c r="X231" s="78" t="s">
        <v>130</v>
      </c>
      <c r="Z231" s="88" t="str">
        <f t="shared" si="11"/>
        <v> - </v>
      </c>
      <c r="AA231" s="13">
        <f t="shared" si="12"/>
        <v>231</v>
      </c>
    </row>
    <row r="232">
      <c r="I232" s="11"/>
      <c r="J232" s="11"/>
      <c r="K232" s="11"/>
      <c r="T232" s="144"/>
      <c r="U232" s="78" t="s">
        <v>391</v>
      </c>
      <c r="V232" s="78">
        <v>100.0</v>
      </c>
      <c r="W232" s="11"/>
      <c r="X232" s="11">
        <f>SUM(V231:V249)</f>
        <v>666</v>
      </c>
      <c r="Z232" s="88" t="str">
        <f t="shared" si="11"/>
        <v> - </v>
      </c>
      <c r="AA232" s="13">
        <f t="shared" si="12"/>
        <v>232</v>
      </c>
    </row>
    <row r="233">
      <c r="I233" s="11"/>
      <c r="J233" s="11"/>
      <c r="K233" s="11"/>
      <c r="T233" s="144"/>
      <c r="U233" s="78" t="s">
        <v>392</v>
      </c>
      <c r="V233" s="78">
        <v>59.0</v>
      </c>
      <c r="W233" s="11"/>
      <c r="X233" s="94">
        <f>X232/60</f>
        <v>11.1</v>
      </c>
      <c r="Z233" s="88" t="str">
        <f t="shared" si="11"/>
        <v> - </v>
      </c>
      <c r="AA233" s="13">
        <f t="shared" si="12"/>
        <v>233</v>
      </c>
    </row>
    <row r="234">
      <c r="I234" s="11"/>
      <c r="J234" s="11"/>
      <c r="K234" s="11"/>
      <c r="T234" s="144"/>
      <c r="U234" s="78" t="s">
        <v>393</v>
      </c>
      <c r="V234" s="78">
        <v>33.0</v>
      </c>
      <c r="W234" s="11"/>
      <c r="X234" s="11"/>
      <c r="Z234" s="88" t="str">
        <f t="shared" si="11"/>
        <v> - </v>
      </c>
      <c r="AA234" s="13">
        <f t="shared" si="12"/>
        <v>234</v>
      </c>
    </row>
    <row r="235">
      <c r="I235" s="11"/>
      <c r="J235" s="11"/>
      <c r="K235" s="11"/>
      <c r="T235" s="144"/>
      <c r="U235" s="78" t="s">
        <v>394</v>
      </c>
      <c r="V235" s="78">
        <v>35.0</v>
      </c>
      <c r="W235" s="11"/>
      <c r="X235" s="11"/>
      <c r="Z235" s="88" t="str">
        <f t="shared" si="11"/>
        <v> - </v>
      </c>
      <c r="AA235" s="13">
        <f t="shared" si="12"/>
        <v>235</v>
      </c>
    </row>
    <row r="236">
      <c r="I236" s="11"/>
      <c r="J236" s="11"/>
      <c r="K236" s="11"/>
      <c r="T236" s="144"/>
      <c r="U236" s="78" t="s">
        <v>395</v>
      </c>
      <c r="V236" s="78">
        <v>5.0</v>
      </c>
      <c r="W236" s="11"/>
      <c r="X236" s="11"/>
      <c r="Z236" s="88" t="str">
        <f t="shared" si="11"/>
        <v> - </v>
      </c>
      <c r="AA236" s="13">
        <f t="shared" si="12"/>
        <v>236</v>
      </c>
    </row>
    <row r="237">
      <c r="I237" s="11"/>
      <c r="J237" s="11"/>
      <c r="K237" s="11"/>
      <c r="T237" s="144"/>
      <c r="U237" s="78" t="s">
        <v>396</v>
      </c>
      <c r="V237" s="78">
        <v>42.0</v>
      </c>
      <c r="W237" s="11"/>
      <c r="X237" s="11"/>
      <c r="Z237" s="88" t="str">
        <f t="shared" si="11"/>
        <v> - </v>
      </c>
      <c r="AA237" s="13">
        <f t="shared" si="12"/>
        <v>237</v>
      </c>
    </row>
    <row r="238">
      <c r="I238" s="11"/>
      <c r="J238" s="11"/>
      <c r="K238" s="11"/>
      <c r="T238" s="144"/>
      <c r="U238" s="78" t="s">
        <v>397</v>
      </c>
      <c r="V238" s="78">
        <v>36.0</v>
      </c>
      <c r="W238" s="11"/>
      <c r="Z238" s="88" t="str">
        <f t="shared" si="11"/>
        <v> - </v>
      </c>
      <c r="AA238" s="13">
        <f t="shared" si="12"/>
        <v>238</v>
      </c>
    </row>
    <row r="239">
      <c r="I239" s="11"/>
      <c r="J239" s="11"/>
      <c r="K239" s="11"/>
      <c r="T239" s="144"/>
      <c r="U239" s="78" t="s">
        <v>398</v>
      </c>
      <c r="V239" s="78">
        <v>22.0</v>
      </c>
      <c r="W239" s="11"/>
      <c r="Z239" s="88" t="str">
        <f t="shared" si="11"/>
        <v> - </v>
      </c>
      <c r="AA239" s="13">
        <f t="shared" si="12"/>
        <v>239</v>
      </c>
    </row>
    <row r="240">
      <c r="I240" s="11"/>
      <c r="J240" s="11"/>
      <c r="K240" s="11"/>
      <c r="T240" s="144"/>
      <c r="U240" s="78" t="s">
        <v>399</v>
      </c>
      <c r="V240" s="78">
        <v>25.0</v>
      </c>
      <c r="W240" s="11"/>
      <c r="Z240" s="88" t="str">
        <f t="shared" si="11"/>
        <v> - </v>
      </c>
      <c r="AA240" s="13">
        <f t="shared" si="12"/>
        <v>240</v>
      </c>
    </row>
    <row r="241">
      <c r="I241" s="11"/>
      <c r="J241" s="11"/>
      <c r="K241" s="11"/>
      <c r="T241" s="144"/>
      <c r="U241" s="78" t="s">
        <v>400</v>
      </c>
      <c r="V241" s="78">
        <v>25.0</v>
      </c>
      <c r="W241" s="11"/>
      <c r="Z241" s="88" t="str">
        <f t="shared" si="11"/>
        <v> - </v>
      </c>
      <c r="AA241" s="13">
        <f t="shared" si="12"/>
        <v>241</v>
      </c>
    </row>
    <row r="242">
      <c r="I242" s="11"/>
      <c r="J242" s="11"/>
      <c r="K242" s="11"/>
      <c r="T242" s="144"/>
      <c r="U242" s="78" t="s">
        <v>401</v>
      </c>
      <c r="V242" s="78">
        <v>50.0</v>
      </c>
      <c r="W242" s="11"/>
      <c r="Z242" s="88" t="str">
        <f t="shared" si="11"/>
        <v> - </v>
      </c>
      <c r="AA242" s="13">
        <f t="shared" si="12"/>
        <v>242</v>
      </c>
    </row>
    <row r="243">
      <c r="I243" s="11"/>
      <c r="J243" s="11"/>
      <c r="K243" s="11"/>
      <c r="T243" s="144"/>
      <c r="U243" s="78" t="s">
        <v>402</v>
      </c>
      <c r="V243" s="78">
        <v>33.0</v>
      </c>
      <c r="W243" s="11"/>
      <c r="Z243" s="88" t="str">
        <f t="shared" si="11"/>
        <v> - </v>
      </c>
      <c r="AA243" s="13">
        <f t="shared" si="12"/>
        <v>243</v>
      </c>
    </row>
    <row r="244">
      <c r="I244" s="11"/>
      <c r="J244" s="11"/>
      <c r="K244" s="11"/>
      <c r="T244" s="144"/>
      <c r="U244" s="78" t="s">
        <v>403</v>
      </c>
      <c r="V244" s="78">
        <v>50.0</v>
      </c>
      <c r="W244" s="11"/>
      <c r="Z244" s="88" t="str">
        <f t="shared" si="11"/>
        <v> - </v>
      </c>
      <c r="AA244" s="13">
        <f t="shared" si="12"/>
        <v>244</v>
      </c>
    </row>
    <row r="245">
      <c r="I245" s="11"/>
      <c r="J245" s="11"/>
      <c r="K245" s="11"/>
      <c r="T245" s="144"/>
      <c r="U245" s="78" t="s">
        <v>404</v>
      </c>
      <c r="V245" s="78">
        <v>40.0</v>
      </c>
      <c r="W245" s="11"/>
      <c r="Z245" s="88" t="str">
        <f t="shared" si="11"/>
        <v> - </v>
      </c>
      <c r="AA245" s="13">
        <f t="shared" si="12"/>
        <v>245</v>
      </c>
    </row>
    <row r="246">
      <c r="I246" s="11"/>
      <c r="J246" s="11"/>
      <c r="K246" s="11"/>
      <c r="T246" s="144"/>
      <c r="U246" s="78" t="s">
        <v>405</v>
      </c>
      <c r="V246" s="78">
        <v>24.0</v>
      </c>
      <c r="W246" s="11"/>
      <c r="Z246" s="88" t="str">
        <f t="shared" si="11"/>
        <v> - </v>
      </c>
      <c r="AA246" s="13">
        <f t="shared" si="12"/>
        <v>246</v>
      </c>
    </row>
    <row r="247">
      <c r="I247" s="11"/>
      <c r="J247" s="11"/>
      <c r="K247" s="11"/>
      <c r="T247" s="144"/>
      <c r="U247" s="78" t="s">
        <v>406</v>
      </c>
      <c r="V247" s="78">
        <v>45.0</v>
      </c>
      <c r="W247" s="11"/>
      <c r="Z247" s="88" t="str">
        <f t="shared" si="11"/>
        <v> - </v>
      </c>
      <c r="AA247" s="13">
        <f t="shared" si="12"/>
        <v>247</v>
      </c>
    </row>
    <row r="248">
      <c r="I248" s="11"/>
      <c r="J248" s="11"/>
      <c r="K248" s="11"/>
      <c r="T248" s="144"/>
      <c r="U248" s="78" t="s">
        <v>407</v>
      </c>
      <c r="V248" s="78">
        <v>20.0</v>
      </c>
      <c r="W248" s="11"/>
      <c r="Z248" s="88" t="str">
        <f t="shared" si="11"/>
        <v> - </v>
      </c>
      <c r="AA248" s="13">
        <f t="shared" si="12"/>
        <v>248</v>
      </c>
    </row>
    <row r="249">
      <c r="I249" s="11"/>
      <c r="J249" s="11"/>
      <c r="K249" s="11"/>
      <c r="T249" s="144"/>
      <c r="U249" s="78" t="s">
        <v>408</v>
      </c>
      <c r="V249" s="78">
        <v>20.0</v>
      </c>
      <c r="W249" s="11"/>
      <c r="Z249" s="88" t="str">
        <f t="shared" si="11"/>
        <v> - </v>
      </c>
      <c r="AA249" s="13">
        <f t="shared" si="12"/>
        <v>249</v>
      </c>
    </row>
    <row r="250">
      <c r="I250" s="11"/>
      <c r="J250" s="11"/>
      <c r="K250" s="11"/>
      <c r="T250" s="144"/>
      <c r="U250" s="78"/>
      <c r="V250" s="11"/>
      <c r="W250" s="11"/>
      <c r="Z250" s="88" t="str">
        <f t="shared" si="11"/>
        <v> - </v>
      </c>
      <c r="AA250" s="13">
        <f t="shared" si="12"/>
        <v>250</v>
      </c>
    </row>
    <row r="251">
      <c r="I251" s="11"/>
      <c r="J251" s="11"/>
      <c r="K251" s="11"/>
      <c r="T251" s="144"/>
      <c r="U251" s="78" t="s">
        <v>409</v>
      </c>
      <c r="V251" s="78">
        <v>22.0</v>
      </c>
      <c r="W251" s="11"/>
      <c r="X251" s="78" t="s">
        <v>130</v>
      </c>
      <c r="Z251" s="88" t="str">
        <f t="shared" si="11"/>
        <v> - </v>
      </c>
      <c r="AA251" s="13">
        <f t="shared" si="12"/>
        <v>251</v>
      </c>
    </row>
    <row r="252">
      <c r="I252" s="11"/>
      <c r="J252" s="11"/>
      <c r="K252" s="11"/>
      <c r="T252" s="144"/>
      <c r="U252" s="78" t="s">
        <v>410</v>
      </c>
      <c r="V252" s="78">
        <v>22.0</v>
      </c>
      <c r="W252" s="11"/>
      <c r="X252" s="11">
        <f>SUM(V251:V259)</f>
        <v>205</v>
      </c>
      <c r="Z252" s="88" t="str">
        <f t="shared" si="11"/>
        <v> - </v>
      </c>
      <c r="AA252" s="13">
        <f t="shared" si="12"/>
        <v>252</v>
      </c>
    </row>
    <row r="253">
      <c r="I253" s="11"/>
      <c r="J253" s="11"/>
      <c r="K253" s="11"/>
      <c r="T253" s="144"/>
      <c r="U253" s="78" t="s">
        <v>411</v>
      </c>
      <c r="V253" s="78">
        <v>26.0</v>
      </c>
      <c r="W253" s="11"/>
      <c r="X253" s="94">
        <f>X252/60</f>
        <v>3.416666667</v>
      </c>
      <c r="Z253" s="88" t="str">
        <f t="shared" si="11"/>
        <v> - </v>
      </c>
      <c r="AA253" s="13">
        <f t="shared" si="12"/>
        <v>253</v>
      </c>
    </row>
    <row r="254">
      <c r="I254" s="11"/>
      <c r="J254" s="11"/>
      <c r="K254" s="11"/>
      <c r="T254" s="144"/>
      <c r="U254" s="78" t="s">
        <v>412</v>
      </c>
      <c r="V254" s="78">
        <v>26.0</v>
      </c>
      <c r="W254" s="11"/>
      <c r="Z254" s="88" t="str">
        <f t="shared" si="11"/>
        <v> - </v>
      </c>
      <c r="AA254" s="13">
        <f t="shared" si="12"/>
        <v>254</v>
      </c>
    </row>
    <row r="255">
      <c r="I255" s="11"/>
      <c r="J255" s="11"/>
      <c r="K255" s="11"/>
      <c r="T255" s="144"/>
      <c r="U255" s="78" t="s">
        <v>413</v>
      </c>
      <c r="V255" s="78">
        <v>28.0</v>
      </c>
      <c r="W255" s="11"/>
      <c r="Z255" s="88" t="str">
        <f t="shared" si="11"/>
        <v> - </v>
      </c>
      <c r="AA255" s="13">
        <f t="shared" si="12"/>
        <v>255</v>
      </c>
    </row>
    <row r="256">
      <c r="I256" s="11"/>
      <c r="J256" s="11"/>
      <c r="K256" s="11"/>
      <c r="T256" s="144"/>
      <c r="U256" s="78" t="s">
        <v>414</v>
      </c>
      <c r="V256" s="78">
        <v>28.0</v>
      </c>
      <c r="W256" s="11"/>
      <c r="Z256" s="88" t="str">
        <f t="shared" si="11"/>
        <v> - </v>
      </c>
      <c r="AA256" s="13">
        <f t="shared" si="12"/>
        <v>256</v>
      </c>
    </row>
    <row r="257">
      <c r="I257" s="11"/>
      <c r="J257" s="11"/>
      <c r="K257" s="11"/>
      <c r="T257" s="144"/>
      <c r="U257" s="78" t="s">
        <v>415</v>
      </c>
      <c r="V257" s="78">
        <v>15.0</v>
      </c>
      <c r="W257" s="11"/>
      <c r="Z257" s="88" t="str">
        <f t="shared" si="11"/>
        <v> - </v>
      </c>
      <c r="AA257" s="13">
        <f t="shared" si="12"/>
        <v>257</v>
      </c>
    </row>
    <row r="258">
      <c r="I258" s="11"/>
      <c r="J258" s="11"/>
      <c r="K258" s="11"/>
      <c r="T258" s="144"/>
      <c r="U258" s="78" t="s">
        <v>416</v>
      </c>
      <c r="V258" s="78">
        <v>23.0</v>
      </c>
      <c r="W258" s="11"/>
      <c r="Z258" s="88" t="str">
        <f t="shared" si="11"/>
        <v> - </v>
      </c>
      <c r="AA258" s="13">
        <f t="shared" si="12"/>
        <v>258</v>
      </c>
    </row>
    <row r="259">
      <c r="I259" s="11"/>
      <c r="J259" s="11"/>
      <c r="K259" s="11"/>
      <c r="T259" s="144"/>
      <c r="U259" s="78" t="s">
        <v>417</v>
      </c>
      <c r="V259" s="78">
        <v>15.0</v>
      </c>
      <c r="W259" s="11"/>
      <c r="Z259" s="88" t="str">
        <f t="shared" si="11"/>
        <v> - </v>
      </c>
      <c r="AA259" s="13">
        <f t="shared" si="12"/>
        <v>259</v>
      </c>
    </row>
    <row r="260">
      <c r="I260" s="11"/>
      <c r="J260" s="11"/>
      <c r="K260" s="11"/>
      <c r="T260" s="144"/>
      <c r="U260" s="78"/>
      <c r="V260" s="78"/>
      <c r="W260" s="11"/>
      <c r="Z260" s="88" t="str">
        <f t="shared" si="11"/>
        <v> - </v>
      </c>
      <c r="AA260" s="13">
        <f t="shared" si="12"/>
        <v>260</v>
      </c>
    </row>
    <row r="261">
      <c r="I261" s="11"/>
      <c r="J261" s="11"/>
      <c r="K261" s="11"/>
      <c r="T261" s="89" t="s">
        <v>418</v>
      </c>
      <c r="U261" s="78" t="s">
        <v>419</v>
      </c>
      <c r="V261" s="78">
        <v>55.0</v>
      </c>
      <c r="W261" s="78">
        <v>83.0</v>
      </c>
      <c r="X261" s="78" t="s">
        <v>130</v>
      </c>
      <c r="Z261" s="88" t="str">
        <f t="shared" si="11"/>
        <v>W05 - Ju</v>
      </c>
      <c r="AA261" s="13">
        <f t="shared" si="12"/>
        <v>261</v>
      </c>
    </row>
    <row r="262">
      <c r="I262" s="11"/>
      <c r="J262" s="11"/>
      <c r="K262" s="11"/>
      <c r="T262" s="89" t="s">
        <v>418</v>
      </c>
      <c r="U262" s="78" t="s">
        <v>420</v>
      </c>
      <c r="V262" s="78">
        <v>60.0</v>
      </c>
      <c r="W262" s="78">
        <v>83.0</v>
      </c>
      <c r="X262" s="11">
        <f>SUM(V261:V263)</f>
        <v>167</v>
      </c>
      <c r="Z262" s="88" t="str">
        <f t="shared" si="11"/>
        <v>W05 - Ju</v>
      </c>
      <c r="AA262" s="13">
        <f t="shared" si="12"/>
        <v>262</v>
      </c>
    </row>
    <row r="263">
      <c r="I263" s="11"/>
      <c r="J263" s="11"/>
      <c r="K263" s="11"/>
      <c r="T263" s="89" t="s">
        <v>418</v>
      </c>
      <c r="U263" s="78" t="s">
        <v>421</v>
      </c>
      <c r="V263" s="78">
        <v>52.0</v>
      </c>
      <c r="W263" s="78">
        <v>83.0</v>
      </c>
      <c r="X263" s="94">
        <f>X262/60</f>
        <v>2.783333333</v>
      </c>
      <c r="Z263" s="88" t="str">
        <f t="shared" si="11"/>
        <v>W05 - Ju</v>
      </c>
      <c r="AA263" s="13">
        <f t="shared" si="12"/>
        <v>263</v>
      </c>
    </row>
    <row r="264">
      <c r="I264" s="11"/>
      <c r="J264" s="11"/>
      <c r="K264" s="11"/>
      <c r="T264" s="144"/>
      <c r="U264" s="11"/>
      <c r="V264" s="11"/>
      <c r="W264" s="11"/>
      <c r="Z264" s="88" t="str">
        <f t="shared" si="11"/>
        <v> - </v>
      </c>
      <c r="AA264" s="13">
        <f t="shared" si="12"/>
        <v>264</v>
      </c>
    </row>
    <row r="265">
      <c r="I265" s="11"/>
      <c r="J265" s="11"/>
      <c r="K265" s="11"/>
      <c r="T265" s="89" t="s">
        <v>418</v>
      </c>
      <c r="U265" s="78" t="s">
        <v>422</v>
      </c>
      <c r="V265" s="78">
        <v>34.0</v>
      </c>
      <c r="W265" s="78">
        <v>84.0</v>
      </c>
      <c r="X265" s="78" t="s">
        <v>130</v>
      </c>
      <c r="Z265" s="88" t="str">
        <f t="shared" si="11"/>
        <v>W05 - Ju</v>
      </c>
      <c r="AA265" s="13">
        <f t="shared" si="12"/>
        <v>265</v>
      </c>
    </row>
    <row r="266">
      <c r="I266" s="11"/>
      <c r="J266" s="11"/>
      <c r="K266" s="11"/>
      <c r="T266" s="89" t="s">
        <v>418</v>
      </c>
      <c r="U266" s="78" t="s">
        <v>423</v>
      </c>
      <c r="V266" s="78">
        <v>70.0</v>
      </c>
      <c r="W266" s="78">
        <v>84.0</v>
      </c>
      <c r="X266" s="11">
        <f>SUM(V265:V272)</f>
        <v>461</v>
      </c>
      <c r="Z266" s="88" t="str">
        <f t="shared" si="11"/>
        <v>W05 - Ju</v>
      </c>
      <c r="AA266" s="13">
        <f t="shared" si="12"/>
        <v>266</v>
      </c>
    </row>
    <row r="267">
      <c r="I267" s="11"/>
      <c r="J267" s="11"/>
      <c r="K267" s="11"/>
      <c r="T267" s="89" t="s">
        <v>424</v>
      </c>
      <c r="U267" s="78" t="s">
        <v>425</v>
      </c>
      <c r="V267" s="78">
        <v>70.0</v>
      </c>
      <c r="W267" s="78">
        <v>84.0</v>
      </c>
      <c r="X267" s="94">
        <f>X266/60</f>
        <v>7.683333333</v>
      </c>
      <c r="Z267" s="88" t="str">
        <f t="shared" si="11"/>
        <v>W05 - Vi</v>
      </c>
      <c r="AA267" s="13">
        <f t="shared" si="12"/>
        <v>267</v>
      </c>
    </row>
    <row r="268">
      <c r="I268" s="11"/>
      <c r="J268" s="11"/>
      <c r="K268" s="11"/>
      <c r="T268" s="89" t="s">
        <v>424</v>
      </c>
      <c r="U268" s="78" t="s">
        <v>426</v>
      </c>
      <c r="V268" s="78">
        <v>77.0</v>
      </c>
      <c r="W268" s="78">
        <v>84.0</v>
      </c>
      <c r="Z268" s="88" t="str">
        <f t="shared" si="11"/>
        <v>W05 - Vi</v>
      </c>
      <c r="AA268" s="13">
        <f t="shared" si="12"/>
        <v>268</v>
      </c>
    </row>
    <row r="269">
      <c r="I269" s="11"/>
      <c r="J269" s="11"/>
      <c r="K269" s="11"/>
      <c r="T269" s="89" t="s">
        <v>424</v>
      </c>
      <c r="U269" s="78" t="s">
        <v>427</v>
      </c>
      <c r="V269" s="78">
        <v>61.0</v>
      </c>
      <c r="W269" s="78">
        <v>84.0</v>
      </c>
      <c r="Z269" s="88" t="str">
        <f t="shared" si="11"/>
        <v>W05 - Vi</v>
      </c>
      <c r="AA269" s="13">
        <f t="shared" si="12"/>
        <v>269</v>
      </c>
    </row>
    <row r="270">
      <c r="I270" s="11"/>
      <c r="J270" s="11"/>
      <c r="K270" s="11"/>
      <c r="T270" s="89" t="s">
        <v>424</v>
      </c>
      <c r="U270" s="78" t="s">
        <v>428</v>
      </c>
      <c r="V270" s="78">
        <v>39.0</v>
      </c>
      <c r="W270" s="78">
        <v>84.0</v>
      </c>
      <c r="Z270" s="88" t="str">
        <f t="shared" si="11"/>
        <v>W05 - Vi</v>
      </c>
      <c r="AA270" s="13">
        <f t="shared" si="12"/>
        <v>270</v>
      </c>
    </row>
    <row r="271">
      <c r="I271" s="11"/>
      <c r="J271" s="11"/>
      <c r="K271" s="11"/>
      <c r="T271" s="89" t="s">
        <v>424</v>
      </c>
      <c r="U271" s="78" t="s">
        <v>429</v>
      </c>
      <c r="V271" s="78">
        <v>55.0</v>
      </c>
      <c r="W271" s="78">
        <v>84.0</v>
      </c>
      <c r="Z271" s="88" t="str">
        <f t="shared" si="11"/>
        <v>W05 - Vi</v>
      </c>
      <c r="AA271" s="13">
        <f t="shared" si="12"/>
        <v>271</v>
      </c>
    </row>
    <row r="272">
      <c r="I272" s="11"/>
      <c r="J272" s="11"/>
      <c r="K272" s="11"/>
      <c r="S272" s="56" t="s">
        <v>430</v>
      </c>
      <c r="T272" s="89" t="s">
        <v>431</v>
      </c>
      <c r="U272" s="78" t="s">
        <v>432</v>
      </c>
      <c r="V272" s="78">
        <v>55.0</v>
      </c>
      <c r="W272" s="12">
        <v>85.0</v>
      </c>
      <c r="Z272" s="88" t="str">
        <f t="shared" si="11"/>
        <v>W05 - Sa</v>
      </c>
      <c r="AA272" s="13">
        <f t="shared" si="12"/>
        <v>272</v>
      </c>
    </row>
    <row r="273">
      <c r="I273" s="11"/>
      <c r="J273" s="11"/>
      <c r="K273" s="11"/>
      <c r="T273" s="143"/>
      <c r="U273" s="78"/>
      <c r="V273" s="11"/>
      <c r="W273" s="11"/>
      <c r="Z273" s="88" t="str">
        <f t="shared" si="11"/>
        <v> - </v>
      </c>
      <c r="AA273" s="13">
        <f t="shared" si="12"/>
        <v>273</v>
      </c>
    </row>
    <row r="274">
      <c r="I274" s="11"/>
      <c r="J274" s="11"/>
      <c r="K274" s="11"/>
      <c r="T274" s="89" t="s">
        <v>433</v>
      </c>
      <c r="U274" s="78" t="s">
        <v>434</v>
      </c>
      <c r="V274" s="78">
        <v>31.0</v>
      </c>
      <c r="W274" s="78">
        <v>61.0</v>
      </c>
      <c r="X274" s="78" t="s">
        <v>130</v>
      </c>
      <c r="Z274" s="88" t="str">
        <f t="shared" si="11"/>
        <v>W02 - Do</v>
      </c>
      <c r="AA274" s="13">
        <f t="shared" si="12"/>
        <v>274</v>
      </c>
    </row>
    <row r="275">
      <c r="I275" s="11"/>
      <c r="J275" s="11"/>
      <c r="K275" s="11"/>
      <c r="T275" s="89" t="s">
        <v>433</v>
      </c>
      <c r="U275" s="78" t="s">
        <v>435</v>
      </c>
      <c r="V275" s="78">
        <v>34.0</v>
      </c>
      <c r="W275" s="78">
        <v>61.0</v>
      </c>
      <c r="X275" s="11">
        <f>SUM(V274:V289)</f>
        <v>635</v>
      </c>
      <c r="Z275" s="88" t="str">
        <f t="shared" si="11"/>
        <v>W02 - Do</v>
      </c>
      <c r="AA275" s="13">
        <f t="shared" si="12"/>
        <v>275</v>
      </c>
    </row>
    <row r="276">
      <c r="I276" s="11"/>
      <c r="T276" s="89" t="s">
        <v>433</v>
      </c>
      <c r="U276" s="78" t="s">
        <v>436</v>
      </c>
      <c r="V276" s="78">
        <v>40.0</v>
      </c>
      <c r="W276" s="78">
        <v>61.0</v>
      </c>
      <c r="X276" s="94">
        <f>X275/60</f>
        <v>10.58333333</v>
      </c>
      <c r="Z276" s="88" t="str">
        <f t="shared" si="11"/>
        <v>W02 - Do</v>
      </c>
      <c r="AA276" s="13">
        <f t="shared" si="12"/>
        <v>276</v>
      </c>
    </row>
    <row r="277">
      <c r="I277" s="11"/>
      <c r="T277" s="89" t="s">
        <v>433</v>
      </c>
      <c r="U277" s="78" t="s">
        <v>437</v>
      </c>
      <c r="V277" s="78">
        <v>38.0</v>
      </c>
      <c r="W277" s="78">
        <v>61.0</v>
      </c>
      <c r="X277" s="11"/>
      <c r="Z277" s="88" t="str">
        <f t="shared" si="11"/>
        <v>W02 - Do</v>
      </c>
      <c r="AA277" s="13">
        <f t="shared" si="12"/>
        <v>277</v>
      </c>
    </row>
    <row r="278">
      <c r="I278" s="11"/>
      <c r="T278" s="89" t="s">
        <v>433</v>
      </c>
      <c r="U278" s="78" t="s">
        <v>438</v>
      </c>
      <c r="V278" s="78">
        <v>30.0</v>
      </c>
      <c r="W278" s="78">
        <v>62.0</v>
      </c>
      <c r="X278" s="11"/>
      <c r="Z278" s="88" t="str">
        <f t="shared" si="11"/>
        <v>W02 - Do</v>
      </c>
      <c r="AA278" s="13">
        <f t="shared" si="12"/>
        <v>278</v>
      </c>
    </row>
    <row r="279">
      <c r="I279" s="11"/>
      <c r="T279" s="89" t="s">
        <v>433</v>
      </c>
      <c r="U279" s="78" t="s">
        <v>439</v>
      </c>
      <c r="V279" s="78">
        <v>30.0</v>
      </c>
      <c r="W279" s="78">
        <v>62.0</v>
      </c>
      <c r="X279" s="11"/>
      <c r="Z279" s="88" t="str">
        <f t="shared" si="11"/>
        <v>W02 - Do</v>
      </c>
      <c r="AA279" s="13">
        <f t="shared" si="12"/>
        <v>279</v>
      </c>
    </row>
    <row r="280">
      <c r="I280" s="11"/>
      <c r="T280" s="89" t="s">
        <v>433</v>
      </c>
      <c r="U280" s="78" t="s">
        <v>440</v>
      </c>
      <c r="V280" s="78">
        <v>31.0</v>
      </c>
      <c r="W280" s="78">
        <v>62.0</v>
      </c>
      <c r="X280" s="11"/>
      <c r="Z280" s="88" t="str">
        <f t="shared" si="11"/>
        <v>W02 - Do</v>
      </c>
      <c r="AA280" s="13">
        <f t="shared" si="12"/>
        <v>280</v>
      </c>
    </row>
    <row r="281">
      <c r="I281" s="11"/>
      <c r="T281" s="89" t="s">
        <v>433</v>
      </c>
      <c r="U281" s="78" t="s">
        <v>441</v>
      </c>
      <c r="V281" s="78">
        <v>37.0</v>
      </c>
      <c r="W281" s="78">
        <v>62.0</v>
      </c>
      <c r="X281" s="11"/>
      <c r="Z281" s="88" t="str">
        <f t="shared" si="11"/>
        <v>W02 - Do</v>
      </c>
      <c r="AA281" s="13">
        <f t="shared" si="12"/>
        <v>281</v>
      </c>
    </row>
    <row r="282">
      <c r="I282" s="11"/>
      <c r="S282" s="117">
        <f t="shared" ref="S282:S441" si="44">V282/60/2</f>
        <v>0.4</v>
      </c>
      <c r="T282" s="89" t="s">
        <v>442</v>
      </c>
      <c r="U282" s="78" t="s">
        <v>443</v>
      </c>
      <c r="V282" s="78">
        <v>48.0</v>
      </c>
      <c r="W282" s="78">
        <v>62.0</v>
      </c>
      <c r="X282" s="11"/>
      <c r="Z282" s="88" t="str">
        <f t="shared" si="11"/>
        <v>W03 - Lu</v>
      </c>
      <c r="AA282" s="13">
        <f t="shared" si="12"/>
        <v>282</v>
      </c>
    </row>
    <row r="283">
      <c r="I283" s="11"/>
      <c r="S283" s="117">
        <f t="shared" si="44"/>
        <v>0.2583333333</v>
      </c>
      <c r="T283" s="89" t="s">
        <v>442</v>
      </c>
      <c r="U283" s="78" t="s">
        <v>444</v>
      </c>
      <c r="V283" s="78">
        <v>31.0</v>
      </c>
      <c r="W283" s="78">
        <v>62.0</v>
      </c>
      <c r="X283" s="11"/>
      <c r="Z283" s="88" t="str">
        <f t="shared" si="11"/>
        <v>W03 - Lu</v>
      </c>
      <c r="AA283" s="13">
        <f t="shared" si="12"/>
        <v>283</v>
      </c>
    </row>
    <row r="284">
      <c r="I284" s="11"/>
      <c r="S284" s="117">
        <f t="shared" si="44"/>
        <v>0.4333333333</v>
      </c>
      <c r="T284" s="89" t="s">
        <v>442</v>
      </c>
      <c r="U284" s="78" t="s">
        <v>445</v>
      </c>
      <c r="V284" s="78">
        <v>52.0</v>
      </c>
      <c r="W284" s="78">
        <v>63.0</v>
      </c>
      <c r="X284" s="11"/>
      <c r="Z284" s="88" t="str">
        <f t="shared" si="11"/>
        <v>W03 - Lu</v>
      </c>
      <c r="AA284" s="13">
        <f t="shared" si="12"/>
        <v>284</v>
      </c>
    </row>
    <row r="285">
      <c r="I285" s="11"/>
      <c r="S285" s="117">
        <f t="shared" si="44"/>
        <v>0.5916666667</v>
      </c>
      <c r="T285" s="89" t="s">
        <v>442</v>
      </c>
      <c r="U285" s="78" t="s">
        <v>446</v>
      </c>
      <c r="V285" s="78">
        <v>71.0</v>
      </c>
      <c r="W285" s="78">
        <v>63.0</v>
      </c>
      <c r="X285" s="11"/>
      <c r="Z285" s="88" t="str">
        <f t="shared" si="11"/>
        <v>W03 - Lu</v>
      </c>
      <c r="AA285" s="13">
        <f t="shared" si="12"/>
        <v>285</v>
      </c>
    </row>
    <row r="286">
      <c r="I286" s="11"/>
      <c r="S286" s="117">
        <f t="shared" si="44"/>
        <v>0.375</v>
      </c>
      <c r="T286" s="89" t="s">
        <v>442</v>
      </c>
      <c r="U286" s="78" t="s">
        <v>447</v>
      </c>
      <c r="V286" s="78">
        <v>45.0</v>
      </c>
      <c r="W286" s="78">
        <v>63.0</v>
      </c>
      <c r="X286" s="11"/>
      <c r="Z286" s="88" t="str">
        <f t="shared" si="11"/>
        <v>W03 - Lu</v>
      </c>
      <c r="AA286" s="13">
        <f t="shared" si="12"/>
        <v>286</v>
      </c>
    </row>
    <row r="287">
      <c r="I287" s="11"/>
      <c r="S287" s="117">
        <f t="shared" si="44"/>
        <v>0.2916666667</v>
      </c>
      <c r="T287" s="89" t="s">
        <v>442</v>
      </c>
      <c r="U287" s="78" t="s">
        <v>448</v>
      </c>
      <c r="V287" s="78">
        <v>35.0</v>
      </c>
      <c r="W287" s="78">
        <v>63.0</v>
      </c>
      <c r="X287" s="11"/>
      <c r="Z287" s="88" t="str">
        <f t="shared" si="11"/>
        <v>W03 - Lu</v>
      </c>
      <c r="AA287" s="13">
        <f t="shared" si="12"/>
        <v>287</v>
      </c>
    </row>
    <row r="288">
      <c r="I288" s="11"/>
      <c r="S288" s="117">
        <f t="shared" si="44"/>
        <v>0.3333333333</v>
      </c>
      <c r="T288" s="89" t="s">
        <v>442</v>
      </c>
      <c r="U288" s="78" t="s">
        <v>449</v>
      </c>
      <c r="V288" s="78">
        <v>40.0</v>
      </c>
      <c r="W288" s="78">
        <v>64.0</v>
      </c>
      <c r="X288" s="11"/>
      <c r="Z288" s="88" t="str">
        <f t="shared" si="11"/>
        <v>W03 - Lu</v>
      </c>
      <c r="AA288" s="13">
        <f t="shared" si="12"/>
        <v>288</v>
      </c>
    </row>
    <row r="289">
      <c r="I289" s="11"/>
      <c r="S289" s="117">
        <f t="shared" si="44"/>
        <v>0.35</v>
      </c>
      <c r="T289" s="89" t="s">
        <v>442</v>
      </c>
      <c r="U289" s="78" t="s">
        <v>450</v>
      </c>
      <c r="V289" s="78">
        <v>42.0</v>
      </c>
      <c r="W289" s="78">
        <v>64.0</v>
      </c>
      <c r="X289" s="11"/>
      <c r="Z289" s="88" t="str">
        <f t="shared" si="11"/>
        <v>W03 - Lu</v>
      </c>
      <c r="AA289" s="13">
        <f t="shared" si="12"/>
        <v>289</v>
      </c>
    </row>
    <row r="290">
      <c r="I290" s="11"/>
      <c r="S290" s="117">
        <f t="shared" si="44"/>
        <v>0</v>
      </c>
      <c r="T290" s="143"/>
      <c r="U290" s="11"/>
      <c r="V290" s="11"/>
      <c r="W290" s="11"/>
      <c r="X290" s="11"/>
      <c r="Z290" s="88" t="str">
        <f t="shared" si="11"/>
        <v> - </v>
      </c>
      <c r="AA290" s="13">
        <f t="shared" si="12"/>
        <v>290</v>
      </c>
    </row>
    <row r="291">
      <c r="I291" s="11"/>
      <c r="S291" s="117">
        <f t="shared" si="44"/>
        <v>0.2166666667</v>
      </c>
      <c r="T291" s="89" t="s">
        <v>451</v>
      </c>
      <c r="U291" s="78" t="s">
        <v>452</v>
      </c>
      <c r="V291" s="78">
        <v>26.0</v>
      </c>
      <c r="W291" s="78">
        <v>64.0</v>
      </c>
      <c r="X291" s="78" t="s">
        <v>130</v>
      </c>
      <c r="Z291" s="88" t="str">
        <f t="shared" si="11"/>
        <v>W03 - Ma</v>
      </c>
      <c r="AA291" s="13">
        <f t="shared" si="12"/>
        <v>291</v>
      </c>
    </row>
    <row r="292">
      <c r="I292" s="11"/>
      <c r="S292" s="117">
        <f t="shared" si="44"/>
        <v>0.725</v>
      </c>
      <c r="T292" s="89" t="s">
        <v>451</v>
      </c>
      <c r="U292" s="78" t="s">
        <v>453</v>
      </c>
      <c r="V292" s="78">
        <v>87.0</v>
      </c>
      <c r="W292" s="78">
        <v>64.0</v>
      </c>
      <c r="X292" s="11">
        <f>SUM(V291:V297)</f>
        <v>304</v>
      </c>
      <c r="Z292" s="88" t="str">
        <f t="shared" si="11"/>
        <v>W03 - Ma</v>
      </c>
      <c r="AA292" s="13">
        <f t="shared" si="12"/>
        <v>292</v>
      </c>
    </row>
    <row r="293">
      <c r="I293" s="11"/>
      <c r="S293" s="117">
        <f t="shared" si="44"/>
        <v>0.625</v>
      </c>
      <c r="T293" s="89" t="s">
        <v>451</v>
      </c>
      <c r="U293" s="78" t="s">
        <v>454</v>
      </c>
      <c r="V293" s="78">
        <v>75.0</v>
      </c>
      <c r="W293" s="78">
        <v>64.0</v>
      </c>
      <c r="X293" s="94">
        <f>X292/60</f>
        <v>5.066666667</v>
      </c>
      <c r="Z293" s="88" t="str">
        <f t="shared" si="11"/>
        <v>W03 - Ma</v>
      </c>
      <c r="AA293" s="13">
        <f t="shared" si="12"/>
        <v>293</v>
      </c>
    </row>
    <row r="294">
      <c r="I294" s="11"/>
      <c r="S294" s="117">
        <f t="shared" si="44"/>
        <v>0.1833333333</v>
      </c>
      <c r="T294" s="89" t="s">
        <v>451</v>
      </c>
      <c r="U294" s="78" t="s">
        <v>455</v>
      </c>
      <c r="V294" s="78">
        <v>22.0</v>
      </c>
      <c r="W294" s="142">
        <v>65.0</v>
      </c>
      <c r="X294" s="11"/>
      <c r="Z294" s="88" t="str">
        <f t="shared" si="11"/>
        <v>W03 - Ma</v>
      </c>
      <c r="AA294" s="13">
        <f t="shared" si="12"/>
        <v>294</v>
      </c>
    </row>
    <row r="295">
      <c r="I295" s="11"/>
      <c r="S295" s="117">
        <f t="shared" si="44"/>
        <v>0.5416666667</v>
      </c>
      <c r="T295" s="89" t="s">
        <v>451</v>
      </c>
      <c r="U295" s="78" t="s">
        <v>456</v>
      </c>
      <c r="V295" s="78">
        <v>65.0</v>
      </c>
      <c r="W295" s="78">
        <v>65.0</v>
      </c>
      <c r="X295" s="11"/>
      <c r="Z295" s="88" t="str">
        <f t="shared" si="11"/>
        <v>W03 - Ma</v>
      </c>
      <c r="AA295" s="13">
        <f t="shared" si="12"/>
        <v>295</v>
      </c>
    </row>
    <row r="296">
      <c r="I296" s="11"/>
      <c r="S296" s="117">
        <f t="shared" si="44"/>
        <v>0.2</v>
      </c>
      <c r="T296" s="89" t="s">
        <v>451</v>
      </c>
      <c r="U296" s="78" t="s">
        <v>457</v>
      </c>
      <c r="V296" s="78">
        <v>24.0</v>
      </c>
      <c r="W296" s="78">
        <v>65.0</v>
      </c>
      <c r="X296" s="11"/>
      <c r="Z296" s="88" t="str">
        <f t="shared" si="11"/>
        <v>W03 - Ma</v>
      </c>
      <c r="AA296" s="13">
        <f t="shared" si="12"/>
        <v>296</v>
      </c>
    </row>
    <row r="297">
      <c r="I297" s="11"/>
      <c r="S297" s="117">
        <f t="shared" si="44"/>
        <v>0.04166666667</v>
      </c>
      <c r="T297" s="89" t="s">
        <v>451</v>
      </c>
      <c r="U297" s="78" t="s">
        <v>458</v>
      </c>
      <c r="V297" s="78">
        <v>5.0</v>
      </c>
      <c r="W297" s="142">
        <v>65.0</v>
      </c>
      <c r="X297" s="11"/>
      <c r="Z297" s="88" t="str">
        <f t="shared" si="11"/>
        <v>W03 - Ma</v>
      </c>
      <c r="AA297" s="13">
        <f t="shared" si="12"/>
        <v>297</v>
      </c>
    </row>
    <row r="298">
      <c r="I298" s="11"/>
      <c r="S298" s="117">
        <f t="shared" si="44"/>
        <v>0</v>
      </c>
      <c r="T298" s="143"/>
      <c r="U298" s="78"/>
      <c r="V298" s="11"/>
      <c r="W298" s="11"/>
      <c r="X298" s="11"/>
      <c r="Z298" s="88" t="str">
        <f t="shared" si="11"/>
        <v> - </v>
      </c>
      <c r="AA298" s="13">
        <f t="shared" si="12"/>
        <v>298</v>
      </c>
    </row>
    <row r="299">
      <c r="I299" s="11"/>
      <c r="S299" s="117">
        <f t="shared" si="44"/>
        <v>0.1666666667</v>
      </c>
      <c r="T299" s="89" t="s">
        <v>451</v>
      </c>
      <c r="U299" s="78" t="s">
        <v>459</v>
      </c>
      <c r="V299" s="78">
        <v>20.0</v>
      </c>
      <c r="W299" s="142">
        <v>66.0</v>
      </c>
      <c r="X299" s="78" t="s">
        <v>130</v>
      </c>
      <c r="Z299" s="88" t="str">
        <f t="shared" si="11"/>
        <v>W03 - Ma</v>
      </c>
      <c r="AA299" s="13">
        <f t="shared" si="12"/>
        <v>299</v>
      </c>
    </row>
    <row r="300">
      <c r="I300" s="11"/>
      <c r="S300" s="117">
        <f t="shared" si="44"/>
        <v>0.1916666667</v>
      </c>
      <c r="T300" s="89" t="s">
        <v>451</v>
      </c>
      <c r="U300" s="78" t="s">
        <v>460</v>
      </c>
      <c r="V300" s="78">
        <v>23.0</v>
      </c>
      <c r="W300" s="78">
        <v>66.0</v>
      </c>
      <c r="X300" s="11">
        <f>SUM(V299:V310)</f>
        <v>218</v>
      </c>
      <c r="Z300" s="88" t="str">
        <f t="shared" si="11"/>
        <v>W03 - Ma</v>
      </c>
      <c r="AA300" s="13">
        <f t="shared" si="12"/>
        <v>300</v>
      </c>
    </row>
    <row r="301">
      <c r="I301" s="11"/>
      <c r="S301" s="117">
        <f t="shared" si="44"/>
        <v>0.175</v>
      </c>
      <c r="T301" s="89" t="s">
        <v>461</v>
      </c>
      <c r="U301" s="78" t="s">
        <v>462</v>
      </c>
      <c r="V301" s="78">
        <v>21.0</v>
      </c>
      <c r="W301" s="78">
        <v>66.0</v>
      </c>
      <c r="X301" s="94">
        <f>X300/60</f>
        <v>3.633333333</v>
      </c>
      <c r="Z301" s="88" t="str">
        <f t="shared" si="11"/>
        <v>W03 - Mi</v>
      </c>
      <c r="AA301" s="13">
        <f t="shared" si="12"/>
        <v>301</v>
      </c>
    </row>
    <row r="302">
      <c r="I302" s="11"/>
      <c r="S302" s="117">
        <f t="shared" si="44"/>
        <v>0.1083333333</v>
      </c>
      <c r="T302" s="89" t="s">
        <v>461</v>
      </c>
      <c r="U302" s="78" t="s">
        <v>463</v>
      </c>
      <c r="V302" s="78">
        <v>13.0</v>
      </c>
      <c r="W302" s="78">
        <v>66.0</v>
      </c>
      <c r="X302" s="11"/>
      <c r="Z302" s="88" t="str">
        <f t="shared" si="11"/>
        <v>W03 - Mi</v>
      </c>
      <c r="AA302" s="13">
        <f t="shared" si="12"/>
        <v>302</v>
      </c>
    </row>
    <row r="303">
      <c r="I303" s="11"/>
      <c r="S303" s="117">
        <f t="shared" si="44"/>
        <v>0.1</v>
      </c>
      <c r="T303" s="89" t="s">
        <v>461</v>
      </c>
      <c r="U303" s="78" t="s">
        <v>464</v>
      </c>
      <c r="V303" s="78">
        <v>12.0</v>
      </c>
      <c r="W303" s="78">
        <v>67.0</v>
      </c>
      <c r="X303" s="11"/>
      <c r="Z303" s="88" t="str">
        <f t="shared" si="11"/>
        <v>W03 - Mi</v>
      </c>
      <c r="AA303" s="13">
        <f t="shared" si="12"/>
        <v>303</v>
      </c>
    </row>
    <row r="304">
      <c r="I304" s="11"/>
      <c r="S304" s="117">
        <f t="shared" si="44"/>
        <v>0.05</v>
      </c>
      <c r="T304" s="89" t="s">
        <v>461</v>
      </c>
      <c r="U304" s="78" t="s">
        <v>465</v>
      </c>
      <c r="V304" s="78">
        <v>6.0</v>
      </c>
      <c r="W304" s="78">
        <v>67.0</v>
      </c>
      <c r="X304" s="11"/>
      <c r="Z304" s="88" t="str">
        <f t="shared" si="11"/>
        <v>W03 - Mi</v>
      </c>
      <c r="AA304" s="13">
        <f t="shared" si="12"/>
        <v>304</v>
      </c>
    </row>
    <row r="305">
      <c r="I305" s="11"/>
      <c r="S305" s="117">
        <f t="shared" si="44"/>
        <v>0.15</v>
      </c>
      <c r="T305" s="89" t="s">
        <v>461</v>
      </c>
      <c r="U305" s="78" t="s">
        <v>466</v>
      </c>
      <c r="V305" s="78">
        <v>18.0</v>
      </c>
      <c r="W305" s="78">
        <v>67.0</v>
      </c>
      <c r="X305" s="11"/>
      <c r="Z305" s="88" t="str">
        <f t="shared" si="11"/>
        <v>W03 - Mi</v>
      </c>
      <c r="AA305" s="13">
        <f t="shared" si="12"/>
        <v>305</v>
      </c>
    </row>
    <row r="306">
      <c r="I306" s="11"/>
      <c r="S306" s="117">
        <f t="shared" si="44"/>
        <v>0.008333333333</v>
      </c>
      <c r="T306" s="89" t="s">
        <v>461</v>
      </c>
      <c r="U306" s="78" t="s">
        <v>467</v>
      </c>
      <c r="V306" s="78">
        <v>1.0</v>
      </c>
      <c r="W306" s="78">
        <v>67.0</v>
      </c>
      <c r="X306" s="11"/>
      <c r="Z306" s="88" t="str">
        <f t="shared" si="11"/>
        <v>W03 - Mi</v>
      </c>
      <c r="AA306" s="13">
        <f t="shared" si="12"/>
        <v>306</v>
      </c>
    </row>
    <row r="307">
      <c r="I307" s="11"/>
      <c r="S307" s="117">
        <f t="shared" si="44"/>
        <v>0.2083333333</v>
      </c>
      <c r="T307" s="89" t="s">
        <v>461</v>
      </c>
      <c r="U307" s="78" t="s">
        <v>468</v>
      </c>
      <c r="V307" s="78">
        <v>25.0</v>
      </c>
      <c r="W307" s="78">
        <v>67.0</v>
      </c>
      <c r="X307" s="11"/>
      <c r="Z307" s="88" t="str">
        <f t="shared" si="11"/>
        <v>W03 - Mi</v>
      </c>
      <c r="AA307" s="13">
        <f t="shared" si="12"/>
        <v>307</v>
      </c>
    </row>
    <row r="308">
      <c r="I308" s="11"/>
      <c r="S308" s="117">
        <f t="shared" si="44"/>
        <v>0.075</v>
      </c>
      <c r="T308" s="89" t="s">
        <v>461</v>
      </c>
      <c r="U308" s="78" t="s">
        <v>469</v>
      </c>
      <c r="V308" s="78">
        <v>9.0</v>
      </c>
      <c r="W308" s="78">
        <v>68.0</v>
      </c>
      <c r="X308" s="11"/>
      <c r="Z308" s="88" t="str">
        <f t="shared" si="11"/>
        <v>W03 - Mi</v>
      </c>
      <c r="AA308" s="13">
        <f t="shared" si="12"/>
        <v>308</v>
      </c>
    </row>
    <row r="309">
      <c r="I309" s="11"/>
      <c r="S309" s="117">
        <f t="shared" si="44"/>
        <v>0.375</v>
      </c>
      <c r="T309" s="89" t="s">
        <v>461</v>
      </c>
      <c r="U309" s="78" t="s">
        <v>470</v>
      </c>
      <c r="V309" s="78">
        <v>45.0</v>
      </c>
      <c r="W309" s="78">
        <v>68.0</v>
      </c>
      <c r="X309" s="11"/>
      <c r="Z309" s="88" t="str">
        <f t="shared" si="11"/>
        <v>W03 - Mi</v>
      </c>
      <c r="AA309" s="13">
        <f t="shared" si="12"/>
        <v>309</v>
      </c>
    </row>
    <row r="310">
      <c r="I310" s="11"/>
      <c r="S310" s="117">
        <f t="shared" si="44"/>
        <v>0.2083333333</v>
      </c>
      <c r="T310" s="89" t="s">
        <v>461</v>
      </c>
      <c r="U310" s="78" t="s">
        <v>471</v>
      </c>
      <c r="V310" s="78">
        <v>25.0</v>
      </c>
      <c r="W310" s="78">
        <v>68.0</v>
      </c>
      <c r="X310" s="11"/>
      <c r="Z310" s="88" t="str">
        <f t="shared" si="11"/>
        <v>W03 - Mi</v>
      </c>
      <c r="AA310" s="13">
        <f t="shared" si="12"/>
        <v>310</v>
      </c>
    </row>
    <row r="311">
      <c r="I311" s="11"/>
      <c r="S311" s="117">
        <f t="shared" si="44"/>
        <v>0</v>
      </c>
      <c r="T311" s="143"/>
      <c r="U311" s="78"/>
      <c r="V311" s="11"/>
      <c r="W311" s="11"/>
      <c r="X311" s="11"/>
      <c r="Z311" s="88" t="str">
        <f t="shared" si="11"/>
        <v> - </v>
      </c>
      <c r="AA311" s="13">
        <f t="shared" si="12"/>
        <v>311</v>
      </c>
    </row>
    <row r="312">
      <c r="I312" s="11"/>
      <c r="S312" s="145">
        <f t="shared" si="44"/>
        <v>0.225</v>
      </c>
      <c r="T312" s="89" t="s">
        <v>461</v>
      </c>
      <c r="U312" s="78" t="s">
        <v>472</v>
      </c>
      <c r="V312" s="78">
        <v>27.0</v>
      </c>
      <c r="W312" s="78">
        <v>68.0</v>
      </c>
      <c r="X312" s="78" t="s">
        <v>130</v>
      </c>
      <c r="Z312" s="88" t="str">
        <f t="shared" si="11"/>
        <v>W03 - Mi</v>
      </c>
      <c r="AA312" s="13">
        <f t="shared" si="12"/>
        <v>312</v>
      </c>
    </row>
    <row r="313">
      <c r="I313" s="11"/>
      <c r="S313" s="117">
        <f t="shared" si="44"/>
        <v>0.4833333333</v>
      </c>
      <c r="T313" s="89" t="s">
        <v>461</v>
      </c>
      <c r="U313" s="78" t="s">
        <v>473</v>
      </c>
      <c r="V313" s="78">
        <v>58.0</v>
      </c>
      <c r="W313" s="78">
        <v>68.0</v>
      </c>
      <c r="X313" s="11">
        <f>SUM(V312:V319)</f>
        <v>281</v>
      </c>
      <c r="Z313" s="88" t="str">
        <f t="shared" si="11"/>
        <v>W03 - Mi</v>
      </c>
      <c r="AA313" s="13">
        <f t="shared" si="12"/>
        <v>313</v>
      </c>
    </row>
    <row r="314">
      <c r="I314" s="11"/>
      <c r="S314" s="117">
        <f t="shared" si="44"/>
        <v>0.275</v>
      </c>
      <c r="T314" s="89" t="s">
        <v>461</v>
      </c>
      <c r="U314" s="78" t="s">
        <v>474</v>
      </c>
      <c r="V314" s="78">
        <v>33.0</v>
      </c>
      <c r="W314" s="78">
        <v>68.0</v>
      </c>
      <c r="X314" s="94">
        <f>X313/60</f>
        <v>4.683333333</v>
      </c>
      <c r="Z314" s="88" t="str">
        <f t="shared" si="11"/>
        <v>W03 - Mi</v>
      </c>
      <c r="AA314" s="13">
        <f t="shared" si="12"/>
        <v>314</v>
      </c>
    </row>
    <row r="315">
      <c r="I315" s="11"/>
      <c r="S315" s="117">
        <f t="shared" si="44"/>
        <v>0.25</v>
      </c>
      <c r="T315" s="89" t="s">
        <v>475</v>
      </c>
      <c r="U315" s="78" t="s">
        <v>476</v>
      </c>
      <c r="V315" s="78">
        <v>30.0</v>
      </c>
      <c r="W315" s="78">
        <v>69.0</v>
      </c>
      <c r="X315" s="11"/>
      <c r="Z315" s="88" t="str">
        <f t="shared" si="11"/>
        <v>W03 - Ju</v>
      </c>
      <c r="AA315" s="13">
        <f t="shared" si="12"/>
        <v>315</v>
      </c>
    </row>
    <row r="316">
      <c r="I316" s="11"/>
      <c r="S316" s="117">
        <f t="shared" si="44"/>
        <v>0.2333333333</v>
      </c>
      <c r="T316" s="89" t="s">
        <v>475</v>
      </c>
      <c r="U316" s="78" t="s">
        <v>477</v>
      </c>
      <c r="V316" s="78">
        <v>28.0</v>
      </c>
      <c r="W316" s="78">
        <v>69.0</v>
      </c>
      <c r="X316" s="11"/>
      <c r="Z316" s="88" t="str">
        <f t="shared" si="11"/>
        <v>W03 - Ju</v>
      </c>
      <c r="AA316" s="13">
        <f t="shared" si="12"/>
        <v>316</v>
      </c>
    </row>
    <row r="317">
      <c r="I317" s="11"/>
      <c r="S317" s="117">
        <f t="shared" si="44"/>
        <v>0.2916666667</v>
      </c>
      <c r="T317" s="89" t="s">
        <v>475</v>
      </c>
      <c r="U317" s="78" t="s">
        <v>478</v>
      </c>
      <c r="V317" s="78">
        <v>35.0</v>
      </c>
      <c r="W317" s="78">
        <v>69.0</v>
      </c>
      <c r="X317" s="11"/>
      <c r="Z317" s="88" t="str">
        <f t="shared" si="11"/>
        <v>W03 - Ju</v>
      </c>
      <c r="AA317" s="13">
        <f t="shared" si="12"/>
        <v>317</v>
      </c>
    </row>
    <row r="318">
      <c r="I318" s="11"/>
      <c r="S318" s="117">
        <f t="shared" si="44"/>
        <v>0.1583333333</v>
      </c>
      <c r="T318" s="89" t="s">
        <v>475</v>
      </c>
      <c r="U318" s="78" t="s">
        <v>479</v>
      </c>
      <c r="V318" s="78">
        <v>19.0</v>
      </c>
      <c r="W318" s="78">
        <v>69.0</v>
      </c>
      <c r="X318" s="11"/>
      <c r="Z318" s="88" t="str">
        <f t="shared" si="11"/>
        <v>W03 - Ju</v>
      </c>
      <c r="AA318" s="13">
        <f t="shared" si="12"/>
        <v>318</v>
      </c>
    </row>
    <row r="319">
      <c r="I319" s="11"/>
      <c r="S319" s="117">
        <f t="shared" si="44"/>
        <v>0.425</v>
      </c>
      <c r="T319" s="89" t="s">
        <v>475</v>
      </c>
      <c r="U319" s="78" t="s">
        <v>480</v>
      </c>
      <c r="V319" s="78">
        <v>51.0</v>
      </c>
      <c r="W319" s="78">
        <v>70.0</v>
      </c>
      <c r="X319" s="11"/>
      <c r="Z319" s="88" t="str">
        <f t="shared" si="11"/>
        <v>W03 - Ju</v>
      </c>
      <c r="AA319" s="13">
        <f t="shared" si="12"/>
        <v>319</v>
      </c>
    </row>
    <row r="320">
      <c r="I320" s="11"/>
      <c r="S320" s="117">
        <f t="shared" si="44"/>
        <v>0</v>
      </c>
      <c r="T320" s="143"/>
      <c r="U320" s="78"/>
      <c r="V320" s="11"/>
      <c r="W320" s="11"/>
      <c r="X320" s="11"/>
      <c r="Z320" s="88" t="str">
        <f t="shared" si="11"/>
        <v> - </v>
      </c>
      <c r="AA320" s="13">
        <f t="shared" si="12"/>
        <v>320</v>
      </c>
    </row>
    <row r="321">
      <c r="I321" s="11"/>
      <c r="S321" s="117">
        <f t="shared" si="44"/>
        <v>0.2333333333</v>
      </c>
      <c r="T321" s="89" t="s">
        <v>475</v>
      </c>
      <c r="U321" s="78" t="s">
        <v>481</v>
      </c>
      <c r="V321" s="78">
        <v>28.0</v>
      </c>
      <c r="W321" s="78">
        <v>70.0</v>
      </c>
      <c r="X321" s="78" t="s">
        <v>130</v>
      </c>
      <c r="Z321" s="88" t="str">
        <f t="shared" si="11"/>
        <v>W03 - Ju</v>
      </c>
      <c r="AA321" s="13">
        <f t="shared" si="12"/>
        <v>321</v>
      </c>
    </row>
    <row r="322">
      <c r="I322" s="11"/>
      <c r="S322" s="117">
        <f t="shared" si="44"/>
        <v>0.375</v>
      </c>
      <c r="T322" s="89" t="s">
        <v>475</v>
      </c>
      <c r="U322" s="78" t="s">
        <v>482</v>
      </c>
      <c r="V322" s="78">
        <v>45.0</v>
      </c>
      <c r="W322" s="78">
        <v>70.0</v>
      </c>
      <c r="X322" s="11">
        <f>SUM(V321:V325)</f>
        <v>215</v>
      </c>
      <c r="Z322" s="88" t="str">
        <f t="shared" si="11"/>
        <v>W03 - Ju</v>
      </c>
      <c r="AA322" s="13">
        <f t="shared" si="12"/>
        <v>322</v>
      </c>
    </row>
    <row r="323">
      <c r="I323" s="11"/>
      <c r="S323" s="117">
        <f t="shared" si="44"/>
        <v>0.425</v>
      </c>
      <c r="T323" s="89" t="s">
        <v>475</v>
      </c>
      <c r="U323" s="78" t="s">
        <v>483</v>
      </c>
      <c r="V323" s="78">
        <v>51.0</v>
      </c>
      <c r="W323" s="78">
        <v>70.0</v>
      </c>
      <c r="X323" s="94">
        <f>X322/60</f>
        <v>3.583333333</v>
      </c>
      <c r="Z323" s="88" t="str">
        <f t="shared" si="11"/>
        <v>W03 - Ju</v>
      </c>
      <c r="AA323" s="13">
        <f t="shared" si="12"/>
        <v>323</v>
      </c>
    </row>
    <row r="324">
      <c r="I324" s="11"/>
      <c r="S324" s="117">
        <f t="shared" si="44"/>
        <v>0.3916666667</v>
      </c>
      <c r="T324" s="89" t="s">
        <v>475</v>
      </c>
      <c r="U324" s="78" t="s">
        <v>484</v>
      </c>
      <c r="V324" s="78">
        <v>47.0</v>
      </c>
      <c r="W324" s="78">
        <v>70.0</v>
      </c>
      <c r="X324" s="11"/>
      <c r="Z324" s="88" t="str">
        <f t="shared" si="11"/>
        <v>W03 - Ju</v>
      </c>
      <c r="AA324" s="13">
        <f t="shared" si="12"/>
        <v>324</v>
      </c>
    </row>
    <row r="325">
      <c r="I325" s="11"/>
      <c r="R325" s="78" t="s">
        <v>485</v>
      </c>
      <c r="S325" s="117">
        <f t="shared" si="44"/>
        <v>0.3666666667</v>
      </c>
      <c r="T325" s="89" t="s">
        <v>475</v>
      </c>
      <c r="U325" s="78" t="s">
        <v>486</v>
      </c>
      <c r="V325" s="78">
        <v>44.0</v>
      </c>
      <c r="W325" s="78">
        <v>71.0</v>
      </c>
      <c r="Z325" s="88" t="str">
        <f t="shared" si="11"/>
        <v>W03 - Ju</v>
      </c>
      <c r="AA325" s="13">
        <f t="shared" si="12"/>
        <v>325</v>
      </c>
    </row>
    <row r="326">
      <c r="I326" s="11"/>
      <c r="S326" s="117">
        <f t="shared" si="44"/>
        <v>0</v>
      </c>
      <c r="T326" s="131"/>
      <c r="U326" s="78"/>
      <c r="V326" s="11"/>
      <c r="W326" s="11"/>
      <c r="Z326" s="88" t="str">
        <f t="shared" si="11"/>
        <v> - </v>
      </c>
      <c r="AA326" s="13">
        <f t="shared" si="12"/>
        <v>326</v>
      </c>
    </row>
    <row r="327">
      <c r="I327" s="11"/>
      <c r="S327" s="117">
        <f t="shared" si="44"/>
        <v>0.3666666667</v>
      </c>
      <c r="T327" s="89" t="s">
        <v>475</v>
      </c>
      <c r="U327" s="78" t="s">
        <v>487</v>
      </c>
      <c r="V327" s="78">
        <v>44.0</v>
      </c>
      <c r="W327" s="78">
        <v>71.0</v>
      </c>
      <c r="X327" s="78" t="s">
        <v>130</v>
      </c>
      <c r="Z327" s="88" t="str">
        <f t="shared" si="11"/>
        <v>W03 - Ju</v>
      </c>
      <c r="AA327" s="13">
        <f t="shared" si="12"/>
        <v>327</v>
      </c>
    </row>
    <row r="328">
      <c r="I328" s="11"/>
      <c r="S328" s="117">
        <f t="shared" si="44"/>
        <v>0.25</v>
      </c>
      <c r="T328" s="89" t="s">
        <v>475</v>
      </c>
      <c r="U328" s="78" t="s">
        <v>488</v>
      </c>
      <c r="V328" s="78">
        <v>30.0</v>
      </c>
      <c r="W328" s="78">
        <v>71.0</v>
      </c>
      <c r="X328" s="11">
        <f>SUM(V327:V340)</f>
        <v>597</v>
      </c>
      <c r="Z328" s="88" t="str">
        <f t="shared" si="11"/>
        <v>W03 - Ju</v>
      </c>
      <c r="AA328" s="13">
        <f t="shared" si="12"/>
        <v>328</v>
      </c>
    </row>
    <row r="329">
      <c r="I329" s="11"/>
      <c r="S329" s="117">
        <f t="shared" si="44"/>
        <v>0.275</v>
      </c>
      <c r="T329" s="89" t="s">
        <v>475</v>
      </c>
      <c r="U329" s="78" t="s">
        <v>489</v>
      </c>
      <c r="V329" s="78">
        <v>33.0</v>
      </c>
      <c r="W329" s="78">
        <v>72.0</v>
      </c>
      <c r="X329" s="94">
        <f>X328/60</f>
        <v>9.95</v>
      </c>
      <c r="Z329" s="88" t="str">
        <f t="shared" si="11"/>
        <v>W03 - Ju</v>
      </c>
      <c r="AA329" s="13">
        <f t="shared" si="12"/>
        <v>329</v>
      </c>
    </row>
    <row r="330">
      <c r="I330" s="11"/>
      <c r="S330" s="117">
        <f t="shared" si="44"/>
        <v>0.3666666667</v>
      </c>
      <c r="T330" s="89" t="s">
        <v>475</v>
      </c>
      <c r="U330" s="78" t="s">
        <v>490</v>
      </c>
      <c r="V330" s="78">
        <v>44.0</v>
      </c>
      <c r="W330" s="78">
        <v>72.0</v>
      </c>
      <c r="X330" s="11"/>
      <c r="Z330" s="88" t="str">
        <f t="shared" si="11"/>
        <v>W03 - Ju</v>
      </c>
      <c r="AA330" s="13">
        <f t="shared" si="12"/>
        <v>330</v>
      </c>
    </row>
    <row r="331">
      <c r="I331" s="11"/>
      <c r="S331" s="117">
        <f t="shared" si="44"/>
        <v>0.4833333333</v>
      </c>
      <c r="T331" s="89" t="s">
        <v>475</v>
      </c>
      <c r="U331" s="78" t="s">
        <v>491</v>
      </c>
      <c r="V331" s="78">
        <v>58.0</v>
      </c>
      <c r="W331" s="78">
        <v>72.0</v>
      </c>
      <c r="X331" s="11"/>
      <c r="Z331" s="88" t="str">
        <f t="shared" si="11"/>
        <v>W03 - Ju</v>
      </c>
      <c r="AA331" s="13">
        <f t="shared" si="12"/>
        <v>331</v>
      </c>
    </row>
    <row r="332">
      <c r="I332" s="11"/>
      <c r="S332" s="117">
        <f t="shared" si="44"/>
        <v>0.225</v>
      </c>
      <c r="T332" s="89" t="s">
        <v>475</v>
      </c>
      <c r="U332" s="78" t="s">
        <v>492</v>
      </c>
      <c r="V332" s="78">
        <v>27.0</v>
      </c>
      <c r="W332" s="78">
        <v>72.0</v>
      </c>
      <c r="X332" s="11"/>
      <c r="Z332" s="88" t="str">
        <f t="shared" si="11"/>
        <v>W03 - Ju</v>
      </c>
      <c r="AA332" s="13">
        <f t="shared" si="12"/>
        <v>332</v>
      </c>
    </row>
    <row r="333">
      <c r="I333" s="11"/>
      <c r="S333" s="117">
        <f t="shared" si="44"/>
        <v>0.375</v>
      </c>
      <c r="T333" s="89" t="s">
        <v>493</v>
      </c>
      <c r="U333" s="78" t="s">
        <v>494</v>
      </c>
      <c r="V333" s="78">
        <v>45.0</v>
      </c>
      <c r="W333" s="78">
        <v>72.0</v>
      </c>
      <c r="X333" s="11"/>
      <c r="Z333" s="88" t="str">
        <f t="shared" si="11"/>
        <v>W03 - Vi</v>
      </c>
      <c r="AA333" s="13">
        <f t="shared" si="12"/>
        <v>333</v>
      </c>
    </row>
    <row r="334">
      <c r="I334" s="11"/>
      <c r="S334" s="117">
        <f t="shared" si="44"/>
        <v>0.325</v>
      </c>
      <c r="T334" s="89" t="s">
        <v>493</v>
      </c>
      <c r="U334" s="78" t="s">
        <v>495</v>
      </c>
      <c r="V334" s="78">
        <v>39.0</v>
      </c>
      <c r="W334" s="78">
        <v>72.0</v>
      </c>
      <c r="X334" s="11"/>
      <c r="Z334" s="88" t="str">
        <f t="shared" si="11"/>
        <v>W03 - Vi</v>
      </c>
      <c r="AA334" s="13">
        <f t="shared" si="12"/>
        <v>334</v>
      </c>
    </row>
    <row r="335">
      <c r="I335" s="11"/>
      <c r="S335" s="117">
        <f t="shared" si="44"/>
        <v>0.2916666667</v>
      </c>
      <c r="T335" s="89" t="s">
        <v>493</v>
      </c>
      <c r="U335" s="78" t="s">
        <v>496</v>
      </c>
      <c r="V335" s="78">
        <v>35.0</v>
      </c>
      <c r="W335" s="78">
        <v>72.0</v>
      </c>
      <c r="X335" s="11"/>
      <c r="Z335" s="88" t="str">
        <f t="shared" si="11"/>
        <v>W03 - Vi</v>
      </c>
      <c r="AA335" s="13">
        <f t="shared" si="12"/>
        <v>335</v>
      </c>
    </row>
    <row r="336">
      <c r="I336" s="11"/>
      <c r="S336" s="117">
        <f t="shared" si="44"/>
        <v>0.35</v>
      </c>
      <c r="T336" s="89" t="s">
        <v>493</v>
      </c>
      <c r="U336" s="78" t="s">
        <v>497</v>
      </c>
      <c r="V336" s="78">
        <v>42.0</v>
      </c>
      <c r="W336" s="78">
        <v>72.0</v>
      </c>
      <c r="X336" s="11"/>
      <c r="Z336" s="88" t="str">
        <f t="shared" si="11"/>
        <v>W03 - Vi</v>
      </c>
      <c r="AA336" s="13">
        <f t="shared" si="12"/>
        <v>336</v>
      </c>
    </row>
    <row r="337">
      <c r="I337" s="11"/>
      <c r="S337" s="146">
        <f t="shared" si="44"/>
        <v>0.4666666667</v>
      </c>
      <c r="T337" s="89" t="s">
        <v>493</v>
      </c>
      <c r="U337" s="78" t="s">
        <v>498</v>
      </c>
      <c r="V337" s="78">
        <v>56.0</v>
      </c>
      <c r="W337" s="78">
        <v>73.0</v>
      </c>
      <c r="X337" s="11"/>
      <c r="Z337" s="88" t="str">
        <f t="shared" si="11"/>
        <v>W03 - Vi</v>
      </c>
      <c r="AA337" s="13">
        <f t="shared" si="12"/>
        <v>337</v>
      </c>
    </row>
    <row r="338">
      <c r="I338" s="11"/>
      <c r="S338" s="117">
        <f t="shared" si="44"/>
        <v>0.2916666667</v>
      </c>
      <c r="T338" s="89" t="s">
        <v>493</v>
      </c>
      <c r="U338" s="78" t="s">
        <v>499</v>
      </c>
      <c r="V338" s="78">
        <v>35.0</v>
      </c>
      <c r="W338" s="78">
        <v>73.0</v>
      </c>
      <c r="X338" s="11"/>
      <c r="Z338" s="88" t="str">
        <f t="shared" si="11"/>
        <v>W03 - Vi</v>
      </c>
      <c r="AA338" s="13">
        <f t="shared" si="12"/>
        <v>338</v>
      </c>
    </row>
    <row r="339">
      <c r="I339" s="11"/>
      <c r="S339" s="117">
        <f t="shared" si="44"/>
        <v>0.475</v>
      </c>
      <c r="T339" s="89" t="s">
        <v>500</v>
      </c>
      <c r="U339" s="78" t="s">
        <v>501</v>
      </c>
      <c r="V339" s="78">
        <v>57.0</v>
      </c>
      <c r="W339" s="78">
        <v>73.0</v>
      </c>
      <c r="X339" s="11"/>
      <c r="Z339" s="88" t="str">
        <f t="shared" si="11"/>
        <v>W03 - Sa</v>
      </c>
      <c r="AA339" s="13">
        <f t="shared" si="12"/>
        <v>339</v>
      </c>
    </row>
    <row r="340">
      <c r="I340" s="11"/>
      <c r="S340" s="117">
        <f t="shared" si="44"/>
        <v>0.4333333333</v>
      </c>
      <c r="T340" s="89" t="s">
        <v>500</v>
      </c>
      <c r="U340" s="78" t="s">
        <v>502</v>
      </c>
      <c r="V340" s="78">
        <v>52.0</v>
      </c>
      <c r="W340" s="78">
        <v>73.0</v>
      </c>
      <c r="X340" s="11"/>
      <c r="Z340" s="88" t="str">
        <f t="shared" si="11"/>
        <v>W03 - Sa</v>
      </c>
      <c r="AA340" s="13">
        <f t="shared" si="12"/>
        <v>340</v>
      </c>
    </row>
    <row r="341">
      <c r="S341" s="117">
        <f t="shared" si="44"/>
        <v>0</v>
      </c>
      <c r="T341" s="131"/>
      <c r="U341" s="78"/>
      <c r="V341" s="11"/>
      <c r="W341" s="11"/>
      <c r="X341" s="11"/>
      <c r="Z341" s="88" t="str">
        <f t="shared" si="11"/>
        <v> - </v>
      </c>
      <c r="AA341" s="13">
        <f t="shared" si="12"/>
        <v>341</v>
      </c>
    </row>
    <row r="342">
      <c r="S342" s="117">
        <f t="shared" si="44"/>
        <v>0.5</v>
      </c>
      <c r="T342" s="89" t="s">
        <v>500</v>
      </c>
      <c r="U342" s="78" t="s">
        <v>503</v>
      </c>
      <c r="V342" s="78">
        <v>60.0</v>
      </c>
      <c r="W342" s="78">
        <v>73.0</v>
      </c>
      <c r="X342" s="78" t="s">
        <v>130</v>
      </c>
      <c r="Z342" s="88" t="str">
        <f t="shared" si="11"/>
        <v>W03 - Sa</v>
      </c>
      <c r="AA342" s="13">
        <f t="shared" si="12"/>
        <v>342</v>
      </c>
    </row>
    <row r="343">
      <c r="S343" s="117">
        <f t="shared" si="44"/>
        <v>0.5</v>
      </c>
      <c r="T343" s="89" t="s">
        <v>500</v>
      </c>
      <c r="U343" s="78" t="s">
        <v>504</v>
      </c>
      <c r="V343" s="78">
        <v>60.0</v>
      </c>
      <c r="W343" s="78">
        <v>73.0</v>
      </c>
      <c r="X343" s="11">
        <f>SUM(V342:V357)</f>
        <v>874</v>
      </c>
      <c r="Z343" s="88" t="str">
        <f t="shared" si="11"/>
        <v>W03 - Sa</v>
      </c>
      <c r="AA343" s="13">
        <f t="shared" si="12"/>
        <v>343</v>
      </c>
    </row>
    <row r="344">
      <c r="S344" s="117">
        <f t="shared" si="44"/>
        <v>0.5</v>
      </c>
      <c r="T344" s="89" t="s">
        <v>500</v>
      </c>
      <c r="U344" s="78" t="s">
        <v>505</v>
      </c>
      <c r="V344" s="78">
        <v>60.0</v>
      </c>
      <c r="W344" s="78">
        <v>74.0</v>
      </c>
      <c r="X344" s="94">
        <f>X343/60</f>
        <v>14.56666667</v>
      </c>
      <c r="Z344" s="88" t="str">
        <f t="shared" si="11"/>
        <v>W03 - Sa</v>
      </c>
      <c r="AA344" s="13">
        <f t="shared" si="12"/>
        <v>344</v>
      </c>
    </row>
    <row r="345">
      <c r="S345" s="117">
        <f t="shared" si="44"/>
        <v>0.5</v>
      </c>
      <c r="T345" s="89" t="s">
        <v>500</v>
      </c>
      <c r="U345" s="78" t="s">
        <v>506</v>
      </c>
      <c r="V345" s="78">
        <v>60.0</v>
      </c>
      <c r="W345" s="78">
        <v>74.0</v>
      </c>
      <c r="X345" s="11"/>
      <c r="Z345" s="88" t="str">
        <f t="shared" si="11"/>
        <v>W03 - Sa</v>
      </c>
      <c r="AA345" s="13">
        <f t="shared" si="12"/>
        <v>345</v>
      </c>
    </row>
    <row r="346">
      <c r="S346" s="117">
        <f t="shared" si="44"/>
        <v>0.4583333333</v>
      </c>
      <c r="T346" s="89" t="s">
        <v>500</v>
      </c>
      <c r="U346" s="78" t="s">
        <v>507</v>
      </c>
      <c r="V346" s="78">
        <v>55.0</v>
      </c>
      <c r="W346" s="78">
        <v>74.0</v>
      </c>
      <c r="X346" s="11"/>
      <c r="Z346" s="88" t="str">
        <f t="shared" si="11"/>
        <v>W03 - Sa</v>
      </c>
      <c r="AA346" s="13">
        <f t="shared" si="12"/>
        <v>346</v>
      </c>
    </row>
    <row r="347">
      <c r="S347" s="117">
        <f t="shared" si="44"/>
        <v>0.4583333333</v>
      </c>
      <c r="T347" s="89" t="s">
        <v>500</v>
      </c>
      <c r="U347" s="78" t="s">
        <v>508</v>
      </c>
      <c r="V347" s="78">
        <v>55.0</v>
      </c>
      <c r="W347" s="78">
        <v>74.0</v>
      </c>
      <c r="X347" s="78"/>
      <c r="Z347" s="88" t="str">
        <f t="shared" si="11"/>
        <v>W03 - Sa</v>
      </c>
      <c r="AA347" s="13">
        <f t="shared" si="12"/>
        <v>347</v>
      </c>
    </row>
    <row r="348">
      <c r="S348" s="117">
        <f t="shared" si="44"/>
        <v>0.6333333333</v>
      </c>
      <c r="T348" s="89" t="s">
        <v>509</v>
      </c>
      <c r="U348" s="78" t="s">
        <v>510</v>
      </c>
      <c r="V348" s="78">
        <v>76.0</v>
      </c>
      <c r="W348" s="78">
        <v>74.0</v>
      </c>
      <c r="X348" s="11"/>
      <c r="Z348" s="88" t="str">
        <f t="shared" si="11"/>
        <v>W03 - Do</v>
      </c>
      <c r="AA348" s="13">
        <f t="shared" si="12"/>
        <v>348</v>
      </c>
    </row>
    <row r="349">
      <c r="S349" s="117">
        <f t="shared" si="44"/>
        <v>0.4583333333</v>
      </c>
      <c r="T349" s="89" t="s">
        <v>509</v>
      </c>
      <c r="U349" s="78" t="s">
        <v>511</v>
      </c>
      <c r="V349" s="78">
        <v>55.0</v>
      </c>
      <c r="W349" s="78">
        <v>74.0</v>
      </c>
      <c r="X349" s="94"/>
      <c r="Z349" s="88" t="str">
        <f t="shared" si="11"/>
        <v>W03 - Do</v>
      </c>
      <c r="AA349" s="13">
        <f t="shared" si="12"/>
        <v>349</v>
      </c>
    </row>
    <row r="350">
      <c r="S350" s="117">
        <f t="shared" si="44"/>
        <v>0.4583333333</v>
      </c>
      <c r="T350" s="89" t="s">
        <v>509</v>
      </c>
      <c r="U350" s="78" t="s">
        <v>512</v>
      </c>
      <c r="V350" s="78">
        <v>55.0</v>
      </c>
      <c r="W350" s="78">
        <v>74.0</v>
      </c>
      <c r="X350" s="11"/>
      <c r="Z350" s="88" t="str">
        <f t="shared" si="11"/>
        <v>W03 - Do</v>
      </c>
      <c r="AA350" s="13">
        <f t="shared" si="12"/>
        <v>350</v>
      </c>
    </row>
    <row r="351">
      <c r="S351" s="117">
        <f t="shared" si="44"/>
        <v>0.4833333333</v>
      </c>
      <c r="T351" s="89" t="s">
        <v>509</v>
      </c>
      <c r="U351" s="78" t="s">
        <v>513</v>
      </c>
      <c r="V351" s="78">
        <v>58.0</v>
      </c>
      <c r="W351" s="78">
        <v>75.0</v>
      </c>
      <c r="X351" s="11"/>
      <c r="Z351" s="88" t="str">
        <f t="shared" si="11"/>
        <v>W03 - Do</v>
      </c>
      <c r="AA351" s="13">
        <f t="shared" si="12"/>
        <v>351</v>
      </c>
    </row>
    <row r="352">
      <c r="S352" s="117">
        <f t="shared" si="44"/>
        <v>0.4833333333</v>
      </c>
      <c r="T352" s="89" t="s">
        <v>509</v>
      </c>
      <c r="U352" s="78" t="s">
        <v>514</v>
      </c>
      <c r="V352" s="78">
        <v>58.0</v>
      </c>
      <c r="W352" s="78">
        <v>75.0</v>
      </c>
      <c r="X352" s="11"/>
      <c r="Z352" s="88" t="str">
        <f t="shared" si="11"/>
        <v>W03 - Do</v>
      </c>
      <c r="AA352" s="13">
        <f t="shared" si="12"/>
        <v>352</v>
      </c>
    </row>
    <row r="353">
      <c r="S353" s="117">
        <f t="shared" si="44"/>
        <v>0.4333333333</v>
      </c>
      <c r="T353" s="89" t="s">
        <v>515</v>
      </c>
      <c r="U353" s="78" t="s">
        <v>516</v>
      </c>
      <c r="V353" s="78">
        <v>52.0</v>
      </c>
      <c r="W353" s="78">
        <v>75.0</v>
      </c>
      <c r="X353" s="11"/>
      <c r="Z353" s="88" t="str">
        <f t="shared" si="11"/>
        <v>W04 - Lu</v>
      </c>
      <c r="AA353" s="13">
        <f t="shared" si="12"/>
        <v>353</v>
      </c>
    </row>
    <row r="354">
      <c r="S354" s="117">
        <f t="shared" si="44"/>
        <v>0.4333333333</v>
      </c>
      <c r="T354" s="89" t="s">
        <v>515</v>
      </c>
      <c r="U354" s="78" t="s">
        <v>517</v>
      </c>
      <c r="V354" s="78">
        <v>52.0</v>
      </c>
      <c r="W354" s="78">
        <v>75.0</v>
      </c>
      <c r="X354" s="11"/>
      <c r="Z354" s="88" t="str">
        <f t="shared" si="11"/>
        <v>W04 - Lu</v>
      </c>
      <c r="AA354" s="13">
        <f t="shared" si="12"/>
        <v>354</v>
      </c>
    </row>
    <row r="355">
      <c r="S355" s="145">
        <f t="shared" si="44"/>
        <v>0.4333333333</v>
      </c>
      <c r="T355" s="89" t="s">
        <v>515</v>
      </c>
      <c r="U355" s="78" t="s">
        <v>518</v>
      </c>
      <c r="V355" s="78">
        <v>52.0</v>
      </c>
      <c r="W355" s="78">
        <v>75.0</v>
      </c>
      <c r="X355" s="11"/>
      <c r="Z355" s="88" t="str">
        <f t="shared" si="11"/>
        <v>W04 - Lu</v>
      </c>
      <c r="AA355" s="13">
        <f t="shared" si="12"/>
        <v>355</v>
      </c>
    </row>
    <row r="356">
      <c r="S356" s="117">
        <f t="shared" si="44"/>
        <v>0.4833333333</v>
      </c>
      <c r="T356" s="89" t="s">
        <v>515</v>
      </c>
      <c r="U356" s="78" t="s">
        <v>519</v>
      </c>
      <c r="V356" s="78">
        <v>58.0</v>
      </c>
      <c r="W356" s="78">
        <v>75.0</v>
      </c>
      <c r="X356" s="11"/>
      <c r="Z356" s="88" t="str">
        <f t="shared" si="11"/>
        <v>W04 - Lu</v>
      </c>
      <c r="AA356" s="13">
        <f t="shared" si="12"/>
        <v>356</v>
      </c>
    </row>
    <row r="357">
      <c r="S357" s="117">
        <f t="shared" si="44"/>
        <v>0.06666666667</v>
      </c>
      <c r="T357" s="89" t="s">
        <v>515</v>
      </c>
      <c r="U357" s="78" t="s">
        <v>520</v>
      </c>
      <c r="V357" s="78">
        <v>8.0</v>
      </c>
      <c r="W357" s="78">
        <v>76.0</v>
      </c>
      <c r="X357" s="11"/>
      <c r="Z357" s="88" t="str">
        <f t="shared" si="11"/>
        <v>W04 - Lu</v>
      </c>
      <c r="AA357" s="13">
        <f t="shared" si="12"/>
        <v>357</v>
      </c>
    </row>
    <row r="358">
      <c r="S358" s="117">
        <f t="shared" si="44"/>
        <v>0</v>
      </c>
      <c r="T358" s="131"/>
      <c r="U358" s="11"/>
      <c r="V358" s="11"/>
      <c r="W358" s="11"/>
      <c r="X358" s="11"/>
      <c r="Z358" s="88" t="str">
        <f t="shared" si="11"/>
        <v> - </v>
      </c>
      <c r="AA358" s="13">
        <f t="shared" si="12"/>
        <v>358</v>
      </c>
    </row>
    <row r="359">
      <c r="S359" s="117">
        <f t="shared" si="44"/>
        <v>0.3083333333</v>
      </c>
      <c r="T359" s="89" t="s">
        <v>515</v>
      </c>
      <c r="U359" s="78" t="s">
        <v>521</v>
      </c>
      <c r="V359" s="78">
        <v>37.0</v>
      </c>
      <c r="W359" s="78">
        <v>76.0</v>
      </c>
      <c r="X359" s="78" t="s">
        <v>130</v>
      </c>
      <c r="Z359" s="88" t="str">
        <f t="shared" si="11"/>
        <v>W04 - Lu</v>
      </c>
      <c r="AA359" s="13">
        <f t="shared" si="12"/>
        <v>359</v>
      </c>
    </row>
    <row r="360">
      <c r="S360" s="117">
        <f t="shared" si="44"/>
        <v>0.1</v>
      </c>
      <c r="T360" s="89" t="s">
        <v>515</v>
      </c>
      <c r="U360" s="78" t="s">
        <v>522</v>
      </c>
      <c r="V360" s="78">
        <v>12.0</v>
      </c>
      <c r="W360" s="78">
        <v>76.0</v>
      </c>
      <c r="X360" s="11">
        <f>SUM(V359:V374)</f>
        <v>382</v>
      </c>
      <c r="Z360" s="88" t="str">
        <f t="shared" si="11"/>
        <v>W04 - Lu</v>
      </c>
      <c r="AA360" s="13">
        <f t="shared" si="12"/>
        <v>360</v>
      </c>
    </row>
    <row r="361">
      <c r="S361" s="117">
        <f t="shared" si="44"/>
        <v>0.2083333333</v>
      </c>
      <c r="T361" s="89" t="s">
        <v>515</v>
      </c>
      <c r="U361" s="78" t="s">
        <v>523</v>
      </c>
      <c r="V361" s="78">
        <v>25.0</v>
      </c>
      <c r="W361" s="78">
        <v>76.0</v>
      </c>
      <c r="X361" s="94">
        <f>X360/60</f>
        <v>6.366666667</v>
      </c>
      <c r="Z361" s="88" t="str">
        <f t="shared" si="11"/>
        <v>W04 - Lu</v>
      </c>
      <c r="AA361" s="13">
        <f t="shared" si="12"/>
        <v>361</v>
      </c>
    </row>
    <row r="362">
      <c r="S362" s="117">
        <f t="shared" si="44"/>
        <v>0.05</v>
      </c>
      <c r="T362" s="89" t="s">
        <v>515</v>
      </c>
      <c r="U362" s="78" t="s">
        <v>524</v>
      </c>
      <c r="V362" s="78">
        <v>6.0</v>
      </c>
      <c r="W362" s="78">
        <v>76.0</v>
      </c>
      <c r="X362" s="11"/>
      <c r="Z362" s="88" t="str">
        <f t="shared" si="11"/>
        <v>W04 - Lu</v>
      </c>
      <c r="AA362" s="13">
        <f t="shared" si="12"/>
        <v>362</v>
      </c>
    </row>
    <row r="363">
      <c r="S363" s="117">
        <f t="shared" si="44"/>
        <v>0.2916666667</v>
      </c>
      <c r="T363" s="89" t="s">
        <v>515</v>
      </c>
      <c r="U363" s="78" t="s">
        <v>525</v>
      </c>
      <c r="V363" s="78">
        <v>35.0</v>
      </c>
      <c r="W363" s="78">
        <v>76.0</v>
      </c>
      <c r="X363" s="11"/>
      <c r="Z363" s="88" t="str">
        <f t="shared" si="11"/>
        <v>W04 - Lu</v>
      </c>
      <c r="AA363" s="13">
        <f t="shared" si="12"/>
        <v>363</v>
      </c>
    </row>
    <row r="364">
      <c r="S364" s="117">
        <f t="shared" si="44"/>
        <v>0.3</v>
      </c>
      <c r="T364" s="89" t="s">
        <v>515</v>
      </c>
      <c r="U364" s="78" t="s">
        <v>526</v>
      </c>
      <c r="V364" s="78">
        <v>36.0</v>
      </c>
      <c r="W364" s="78">
        <v>76.0</v>
      </c>
      <c r="X364" s="11"/>
      <c r="Z364" s="88" t="str">
        <f t="shared" si="11"/>
        <v>W04 - Lu</v>
      </c>
      <c r="AA364" s="13">
        <f t="shared" si="12"/>
        <v>364</v>
      </c>
    </row>
    <row r="365">
      <c r="S365" s="117">
        <f t="shared" si="44"/>
        <v>0.2333333333</v>
      </c>
      <c r="T365" s="89" t="s">
        <v>515</v>
      </c>
      <c r="U365" s="78" t="s">
        <v>527</v>
      </c>
      <c r="V365" s="78">
        <v>28.0</v>
      </c>
      <c r="W365" s="78">
        <v>76.0</v>
      </c>
      <c r="X365" s="11"/>
      <c r="Z365" s="88" t="str">
        <f t="shared" si="11"/>
        <v>W04 - Lu</v>
      </c>
      <c r="AA365" s="13">
        <f t="shared" si="12"/>
        <v>365</v>
      </c>
    </row>
    <row r="366">
      <c r="S366" s="117">
        <f t="shared" si="44"/>
        <v>0.08333333333</v>
      </c>
      <c r="T366" s="89" t="s">
        <v>528</v>
      </c>
      <c r="U366" s="78" t="s">
        <v>529</v>
      </c>
      <c r="V366" s="78">
        <v>10.0</v>
      </c>
      <c r="W366" s="78">
        <v>77.0</v>
      </c>
      <c r="X366" s="11"/>
      <c r="Z366" s="88" t="str">
        <f t="shared" si="11"/>
        <v>W04 - Ma</v>
      </c>
      <c r="AA366" s="13">
        <f t="shared" si="12"/>
        <v>366</v>
      </c>
    </row>
    <row r="367">
      <c r="S367" s="117">
        <f t="shared" si="44"/>
        <v>0.1833333333</v>
      </c>
      <c r="T367" s="89" t="s">
        <v>528</v>
      </c>
      <c r="U367" s="78" t="s">
        <v>530</v>
      </c>
      <c r="V367" s="78">
        <v>22.0</v>
      </c>
      <c r="W367" s="78">
        <v>77.0</v>
      </c>
      <c r="X367" s="11"/>
      <c r="Z367" s="88" t="str">
        <f t="shared" si="11"/>
        <v>W04 - Ma</v>
      </c>
      <c r="AA367" s="13">
        <f t="shared" si="12"/>
        <v>367</v>
      </c>
    </row>
    <row r="368">
      <c r="S368" s="117">
        <f t="shared" si="44"/>
        <v>0.1833333333</v>
      </c>
      <c r="T368" s="89" t="s">
        <v>528</v>
      </c>
      <c r="U368" s="78" t="s">
        <v>531</v>
      </c>
      <c r="V368" s="78">
        <v>22.0</v>
      </c>
      <c r="W368" s="78">
        <v>77.0</v>
      </c>
      <c r="X368" s="11"/>
      <c r="Z368" s="88" t="str">
        <f t="shared" si="11"/>
        <v>W04 - Ma</v>
      </c>
      <c r="AA368" s="13">
        <f t="shared" si="12"/>
        <v>368</v>
      </c>
    </row>
    <row r="369">
      <c r="S369" s="117">
        <f t="shared" si="44"/>
        <v>0.1166666667</v>
      </c>
      <c r="T369" s="89" t="s">
        <v>528</v>
      </c>
      <c r="U369" s="78" t="s">
        <v>532</v>
      </c>
      <c r="V369" s="78">
        <v>14.0</v>
      </c>
      <c r="W369" s="78">
        <v>77.0</v>
      </c>
      <c r="X369" s="11"/>
      <c r="Z369" s="88" t="str">
        <f t="shared" si="11"/>
        <v>W04 - Ma</v>
      </c>
      <c r="AA369" s="13">
        <f t="shared" si="12"/>
        <v>369</v>
      </c>
    </row>
    <row r="370">
      <c r="S370" s="117">
        <f t="shared" si="44"/>
        <v>0.2083333333</v>
      </c>
      <c r="T370" s="89" t="s">
        <v>528</v>
      </c>
      <c r="U370" s="78" t="s">
        <v>533</v>
      </c>
      <c r="V370" s="78">
        <v>25.0</v>
      </c>
      <c r="W370" s="78">
        <v>77.0</v>
      </c>
      <c r="X370" s="11"/>
      <c r="Z370" s="88" t="str">
        <f t="shared" si="11"/>
        <v>W04 - Ma</v>
      </c>
      <c r="AA370" s="13">
        <f t="shared" si="12"/>
        <v>370</v>
      </c>
    </row>
    <row r="371">
      <c r="S371" s="117">
        <f t="shared" si="44"/>
        <v>0.1</v>
      </c>
      <c r="T371" s="89" t="s">
        <v>528</v>
      </c>
      <c r="U371" s="78" t="s">
        <v>534</v>
      </c>
      <c r="V371" s="78">
        <v>12.0</v>
      </c>
      <c r="W371" s="78">
        <v>78.0</v>
      </c>
      <c r="X371" s="11"/>
      <c r="Z371" s="88" t="str">
        <f t="shared" si="11"/>
        <v>W04 - Ma</v>
      </c>
      <c r="AA371" s="13">
        <f t="shared" si="12"/>
        <v>371</v>
      </c>
    </row>
    <row r="372">
      <c r="S372" s="117">
        <f t="shared" si="44"/>
        <v>0.4</v>
      </c>
      <c r="T372" s="89" t="s">
        <v>528</v>
      </c>
      <c r="U372" s="78" t="s">
        <v>535</v>
      </c>
      <c r="V372" s="78">
        <v>48.0</v>
      </c>
      <c r="W372" s="78">
        <v>78.0</v>
      </c>
      <c r="X372" s="11"/>
      <c r="Z372" s="88" t="str">
        <f t="shared" si="11"/>
        <v>W04 - Ma</v>
      </c>
      <c r="AA372" s="13">
        <f t="shared" si="12"/>
        <v>372</v>
      </c>
    </row>
    <row r="373">
      <c r="S373" s="117">
        <f t="shared" si="44"/>
        <v>0.1166666667</v>
      </c>
      <c r="T373" s="89" t="s">
        <v>528</v>
      </c>
      <c r="U373" s="78" t="s">
        <v>536</v>
      </c>
      <c r="V373" s="78">
        <v>14.0</v>
      </c>
      <c r="W373" s="78">
        <v>78.0</v>
      </c>
      <c r="X373" s="11"/>
      <c r="Z373" s="88" t="str">
        <f t="shared" si="11"/>
        <v>W04 - Ma</v>
      </c>
      <c r="AA373" s="13">
        <f t="shared" si="12"/>
        <v>373</v>
      </c>
    </row>
    <row r="374">
      <c r="S374" s="117">
        <f t="shared" si="44"/>
        <v>0.3</v>
      </c>
      <c r="T374" s="89" t="s">
        <v>528</v>
      </c>
      <c r="U374" s="78" t="s">
        <v>537</v>
      </c>
      <c r="V374" s="78">
        <v>36.0</v>
      </c>
      <c r="W374" s="78">
        <v>78.0</v>
      </c>
      <c r="X374" s="11"/>
      <c r="Z374" s="88" t="str">
        <f t="shared" si="11"/>
        <v>W04 - Ma</v>
      </c>
      <c r="AA374" s="13">
        <f t="shared" si="12"/>
        <v>374</v>
      </c>
    </row>
    <row r="375">
      <c r="S375" s="117">
        <f t="shared" si="44"/>
        <v>0</v>
      </c>
      <c r="T375" s="131"/>
      <c r="U375" s="78"/>
      <c r="V375" s="11"/>
      <c r="W375" s="11"/>
      <c r="X375" s="11"/>
      <c r="Z375" s="88" t="str">
        <f t="shared" si="11"/>
        <v> - </v>
      </c>
      <c r="AA375" s="13">
        <f t="shared" si="12"/>
        <v>375</v>
      </c>
    </row>
    <row r="376">
      <c r="S376" s="117">
        <f t="shared" si="44"/>
        <v>0.2166666667</v>
      </c>
      <c r="T376" s="89" t="s">
        <v>528</v>
      </c>
      <c r="U376" s="78" t="s">
        <v>538</v>
      </c>
      <c r="V376" s="78">
        <v>26.0</v>
      </c>
      <c r="W376" s="78">
        <v>78.0</v>
      </c>
      <c r="X376" s="78" t="s">
        <v>130</v>
      </c>
      <c r="Z376" s="88" t="str">
        <f t="shared" si="11"/>
        <v>W04 - Ma</v>
      </c>
      <c r="AA376" s="13">
        <f t="shared" si="12"/>
        <v>376</v>
      </c>
    </row>
    <row r="377">
      <c r="S377" s="117">
        <f t="shared" si="44"/>
        <v>0.5</v>
      </c>
      <c r="T377" s="89" t="s">
        <v>539</v>
      </c>
      <c r="U377" s="78" t="s">
        <v>540</v>
      </c>
      <c r="V377" s="78">
        <v>60.0</v>
      </c>
      <c r="W377" s="78">
        <v>78.0</v>
      </c>
      <c r="X377" s="11">
        <f>SUM(V376:V389)</f>
        <v>721</v>
      </c>
      <c r="Z377" s="88" t="str">
        <f t="shared" si="11"/>
        <v>W04 - Mi</v>
      </c>
      <c r="AA377" s="13">
        <f t="shared" si="12"/>
        <v>377</v>
      </c>
    </row>
    <row r="378">
      <c r="S378" s="117">
        <f t="shared" si="44"/>
        <v>0.25</v>
      </c>
      <c r="T378" s="89" t="s">
        <v>539</v>
      </c>
      <c r="U378" s="78" t="s">
        <v>541</v>
      </c>
      <c r="V378" s="78">
        <v>30.0</v>
      </c>
      <c r="W378" s="78">
        <v>79.0</v>
      </c>
      <c r="X378" s="94">
        <f>X377/60</f>
        <v>12.01666667</v>
      </c>
      <c r="Z378" s="88" t="str">
        <f t="shared" si="11"/>
        <v>W04 - Mi</v>
      </c>
      <c r="AA378" s="13">
        <f t="shared" si="12"/>
        <v>378</v>
      </c>
    </row>
    <row r="379">
      <c r="S379" s="117">
        <f t="shared" si="44"/>
        <v>0.5</v>
      </c>
      <c r="T379" s="89" t="s">
        <v>539</v>
      </c>
      <c r="U379" s="78" t="s">
        <v>542</v>
      </c>
      <c r="V379" s="78">
        <v>60.0</v>
      </c>
      <c r="W379" s="78">
        <v>79.0</v>
      </c>
      <c r="X379" s="11"/>
      <c r="Z379" s="88" t="str">
        <f t="shared" si="11"/>
        <v>W04 - Mi</v>
      </c>
      <c r="AA379" s="13">
        <f t="shared" si="12"/>
        <v>379</v>
      </c>
    </row>
    <row r="380">
      <c r="S380" s="117">
        <f t="shared" si="44"/>
        <v>0.3166666667</v>
      </c>
      <c r="T380" s="89" t="s">
        <v>539</v>
      </c>
      <c r="U380" s="78" t="s">
        <v>543</v>
      </c>
      <c r="V380" s="78">
        <v>38.0</v>
      </c>
      <c r="W380" s="78">
        <v>79.0</v>
      </c>
      <c r="X380" s="11"/>
      <c r="Z380" s="88" t="str">
        <f t="shared" si="11"/>
        <v>W04 - Mi</v>
      </c>
      <c r="AA380" s="13">
        <f t="shared" si="12"/>
        <v>380</v>
      </c>
    </row>
    <row r="381">
      <c r="S381" s="117">
        <f t="shared" si="44"/>
        <v>0.4833333333</v>
      </c>
      <c r="T381" s="89" t="s">
        <v>539</v>
      </c>
      <c r="U381" s="78" t="s">
        <v>544</v>
      </c>
      <c r="V381" s="78">
        <v>58.0</v>
      </c>
      <c r="W381" s="78">
        <v>79.0</v>
      </c>
      <c r="X381" s="11"/>
      <c r="Z381" s="88" t="str">
        <f t="shared" si="11"/>
        <v>W04 - Mi</v>
      </c>
      <c r="AA381" s="13">
        <f t="shared" si="12"/>
        <v>381</v>
      </c>
    </row>
    <row r="382">
      <c r="S382" s="117">
        <f t="shared" si="44"/>
        <v>0.55</v>
      </c>
      <c r="T382" s="89" t="s">
        <v>539</v>
      </c>
      <c r="U382" s="78" t="s">
        <v>545</v>
      </c>
      <c r="V382" s="78">
        <v>66.0</v>
      </c>
      <c r="W382" s="78">
        <v>79.0</v>
      </c>
      <c r="X382" s="11"/>
      <c r="Z382" s="88" t="str">
        <f t="shared" si="11"/>
        <v>W04 - Mi</v>
      </c>
      <c r="AA382" s="13">
        <f t="shared" si="12"/>
        <v>382</v>
      </c>
    </row>
    <row r="383">
      <c r="S383" s="117">
        <f t="shared" si="44"/>
        <v>0.35</v>
      </c>
      <c r="T383" s="89" t="s">
        <v>546</v>
      </c>
      <c r="U383" s="78" t="s">
        <v>547</v>
      </c>
      <c r="V383" s="78">
        <v>42.0</v>
      </c>
      <c r="W383" s="78">
        <v>80.0</v>
      </c>
      <c r="X383" s="11"/>
      <c r="Z383" s="88" t="str">
        <f t="shared" si="11"/>
        <v>W04 - Ju</v>
      </c>
      <c r="AA383" s="13">
        <f t="shared" si="12"/>
        <v>383</v>
      </c>
    </row>
    <row r="384">
      <c r="S384" s="146">
        <f t="shared" si="44"/>
        <v>0.5</v>
      </c>
      <c r="T384" s="89" t="s">
        <v>546</v>
      </c>
      <c r="U384" s="78" t="s">
        <v>548</v>
      </c>
      <c r="V384" s="78">
        <v>60.0</v>
      </c>
      <c r="W384" s="78">
        <v>80.0</v>
      </c>
      <c r="X384" s="11"/>
      <c r="Z384" s="88" t="str">
        <f t="shared" si="11"/>
        <v>W04 - Ju</v>
      </c>
      <c r="AA384" s="13">
        <f t="shared" si="12"/>
        <v>384</v>
      </c>
    </row>
    <row r="385">
      <c r="S385" s="117">
        <f t="shared" si="44"/>
        <v>0.55</v>
      </c>
      <c r="T385" s="89" t="s">
        <v>546</v>
      </c>
      <c r="U385" s="78" t="s">
        <v>549</v>
      </c>
      <c r="V385" s="78">
        <v>66.0</v>
      </c>
      <c r="W385" s="78">
        <v>80.0</v>
      </c>
      <c r="X385" s="11"/>
      <c r="Z385" s="88" t="str">
        <f t="shared" si="11"/>
        <v>W04 - Ju</v>
      </c>
      <c r="AA385" s="13">
        <f t="shared" si="12"/>
        <v>385</v>
      </c>
    </row>
    <row r="386">
      <c r="S386" s="117">
        <f t="shared" si="44"/>
        <v>0.5</v>
      </c>
      <c r="T386" s="89" t="s">
        <v>546</v>
      </c>
      <c r="U386" s="78" t="s">
        <v>550</v>
      </c>
      <c r="V386" s="78">
        <v>60.0</v>
      </c>
      <c r="W386" s="78">
        <v>80.0</v>
      </c>
      <c r="X386" s="11"/>
      <c r="Z386" s="88" t="str">
        <f t="shared" si="11"/>
        <v>W04 - Ju</v>
      </c>
      <c r="AA386" s="13">
        <f t="shared" si="12"/>
        <v>386</v>
      </c>
    </row>
    <row r="387">
      <c r="S387" s="117">
        <f t="shared" si="44"/>
        <v>0.5083333333</v>
      </c>
      <c r="T387" s="89" t="s">
        <v>546</v>
      </c>
      <c r="U387" s="78" t="s">
        <v>551</v>
      </c>
      <c r="V387" s="78">
        <v>61.0</v>
      </c>
      <c r="W387" s="78">
        <v>80.0</v>
      </c>
      <c r="X387" s="11"/>
      <c r="Z387" s="88" t="str">
        <f t="shared" si="11"/>
        <v>W04 - Ju</v>
      </c>
      <c r="AA387" s="13">
        <f t="shared" si="12"/>
        <v>387</v>
      </c>
    </row>
    <row r="388">
      <c r="S388" s="117">
        <f t="shared" si="44"/>
        <v>0.3916666667</v>
      </c>
      <c r="T388" s="89" t="s">
        <v>552</v>
      </c>
      <c r="U388" s="78" t="s">
        <v>553</v>
      </c>
      <c r="V388" s="78">
        <v>47.0</v>
      </c>
      <c r="W388" s="78">
        <v>81.0</v>
      </c>
      <c r="X388" s="11"/>
      <c r="Z388" s="88" t="str">
        <f t="shared" si="11"/>
        <v>W04 - Vi</v>
      </c>
      <c r="AA388" s="13">
        <f t="shared" si="12"/>
        <v>388</v>
      </c>
    </row>
    <row r="389">
      <c r="S389" s="117">
        <f t="shared" si="44"/>
        <v>0.3916666667</v>
      </c>
      <c r="T389" s="89" t="s">
        <v>554</v>
      </c>
      <c r="U389" s="78" t="s">
        <v>555</v>
      </c>
      <c r="V389" s="78">
        <v>47.0</v>
      </c>
      <c r="W389" s="78">
        <v>81.0</v>
      </c>
      <c r="X389" s="11"/>
      <c r="Z389" s="88" t="str">
        <f t="shared" si="11"/>
        <v>W04 - Vi</v>
      </c>
      <c r="AA389" s="13">
        <f t="shared" si="12"/>
        <v>389</v>
      </c>
    </row>
    <row r="390">
      <c r="S390" s="117">
        <f t="shared" si="44"/>
        <v>0</v>
      </c>
      <c r="T390" s="131"/>
      <c r="U390" s="78"/>
      <c r="V390" s="11"/>
      <c r="W390" s="11"/>
      <c r="X390" s="11"/>
      <c r="Z390" s="88" t="str">
        <f t="shared" si="11"/>
        <v> - </v>
      </c>
      <c r="AA390" s="13">
        <f t="shared" si="12"/>
        <v>390</v>
      </c>
    </row>
    <row r="391">
      <c r="S391" s="117">
        <f t="shared" si="44"/>
        <v>0.1</v>
      </c>
      <c r="T391" s="89" t="s">
        <v>554</v>
      </c>
      <c r="U391" s="78" t="s">
        <v>556</v>
      </c>
      <c r="V391" s="78">
        <v>12.0</v>
      </c>
      <c r="W391" s="78">
        <v>81.0</v>
      </c>
      <c r="X391" s="78" t="s">
        <v>130</v>
      </c>
      <c r="Z391" s="88" t="str">
        <f t="shared" si="11"/>
        <v>W04 - Vi</v>
      </c>
      <c r="AA391" s="13">
        <f t="shared" si="12"/>
        <v>391</v>
      </c>
    </row>
    <row r="392">
      <c r="S392" s="117">
        <f t="shared" si="44"/>
        <v>0.175</v>
      </c>
      <c r="T392" s="89" t="s">
        <v>554</v>
      </c>
      <c r="U392" s="78" t="s">
        <v>557</v>
      </c>
      <c r="V392" s="78">
        <v>21.0</v>
      </c>
      <c r="W392" s="78">
        <v>81.0</v>
      </c>
      <c r="X392" s="11">
        <f>SUM(V391:V398)</f>
        <v>106</v>
      </c>
      <c r="Z392" s="88" t="str">
        <f t="shared" si="11"/>
        <v>W04 - Vi</v>
      </c>
      <c r="AA392" s="13">
        <f t="shared" si="12"/>
        <v>392</v>
      </c>
    </row>
    <row r="393">
      <c r="S393" s="117">
        <f t="shared" si="44"/>
        <v>0.1083333333</v>
      </c>
      <c r="T393" s="89" t="s">
        <v>558</v>
      </c>
      <c r="U393" s="78" t="s">
        <v>559</v>
      </c>
      <c r="V393" s="78">
        <v>13.0</v>
      </c>
      <c r="W393" s="78">
        <v>81.0</v>
      </c>
      <c r="X393" s="94">
        <f>X392/60</f>
        <v>1.766666667</v>
      </c>
      <c r="Z393" s="88" t="str">
        <f t="shared" si="11"/>
        <v>W04 - Sa</v>
      </c>
      <c r="AA393" s="13">
        <f t="shared" si="12"/>
        <v>393</v>
      </c>
    </row>
    <row r="394">
      <c r="S394" s="117">
        <f t="shared" si="44"/>
        <v>0.1083333333</v>
      </c>
      <c r="T394" s="89" t="s">
        <v>558</v>
      </c>
      <c r="U394" s="78" t="s">
        <v>560</v>
      </c>
      <c r="V394" s="78">
        <v>13.0</v>
      </c>
      <c r="W394" s="78">
        <v>81.0</v>
      </c>
      <c r="X394" s="11"/>
      <c r="Z394" s="88" t="str">
        <f t="shared" si="11"/>
        <v>W04 - Sa</v>
      </c>
      <c r="AA394" s="13">
        <f t="shared" si="12"/>
        <v>394</v>
      </c>
    </row>
    <row r="395">
      <c r="S395" s="117">
        <f t="shared" si="44"/>
        <v>0.1083333333</v>
      </c>
      <c r="T395" s="89" t="s">
        <v>561</v>
      </c>
      <c r="U395" s="78" t="s">
        <v>562</v>
      </c>
      <c r="V395" s="78">
        <v>13.0</v>
      </c>
      <c r="W395" s="78">
        <v>82.0</v>
      </c>
      <c r="X395" s="11"/>
      <c r="Z395" s="88" t="str">
        <f t="shared" si="11"/>
        <v>W04 - Do</v>
      </c>
      <c r="AA395" s="13">
        <f t="shared" si="12"/>
        <v>395</v>
      </c>
    </row>
    <row r="396">
      <c r="S396" s="117">
        <f t="shared" si="44"/>
        <v>0.075</v>
      </c>
      <c r="T396" s="89" t="s">
        <v>561</v>
      </c>
      <c r="U396" s="78" t="s">
        <v>563</v>
      </c>
      <c r="V396" s="78">
        <v>9.0</v>
      </c>
      <c r="W396" s="78">
        <v>82.0</v>
      </c>
      <c r="X396" s="11"/>
      <c r="Z396" s="88" t="str">
        <f t="shared" si="11"/>
        <v>W04 - Do</v>
      </c>
      <c r="AA396" s="13">
        <f t="shared" si="12"/>
        <v>396</v>
      </c>
    </row>
    <row r="397">
      <c r="S397" s="117">
        <f t="shared" si="44"/>
        <v>0.125</v>
      </c>
      <c r="T397" s="89" t="s">
        <v>561</v>
      </c>
      <c r="U397" s="78" t="s">
        <v>564</v>
      </c>
      <c r="V397" s="78">
        <v>15.0</v>
      </c>
      <c r="W397" s="78">
        <v>82.0</v>
      </c>
      <c r="X397" s="11"/>
      <c r="Z397" s="88" t="str">
        <f t="shared" si="11"/>
        <v>W04 - Do</v>
      </c>
      <c r="AA397" s="13">
        <f t="shared" si="12"/>
        <v>397</v>
      </c>
    </row>
    <row r="398">
      <c r="R398" s="78" t="s">
        <v>565</v>
      </c>
      <c r="S398" s="117">
        <f t="shared" si="44"/>
        <v>0.08333333333</v>
      </c>
      <c r="T398" s="89" t="s">
        <v>561</v>
      </c>
      <c r="U398" s="78" t="s">
        <v>566</v>
      </c>
      <c r="V398" s="78">
        <v>10.0</v>
      </c>
      <c r="W398" s="78">
        <v>83.0</v>
      </c>
      <c r="X398" s="11"/>
      <c r="Z398" s="88" t="str">
        <f t="shared" si="11"/>
        <v>W04 - Do</v>
      </c>
      <c r="AA398" s="13">
        <f t="shared" si="12"/>
        <v>398</v>
      </c>
    </row>
    <row r="399">
      <c r="R399" s="11"/>
      <c r="S399" s="117">
        <f t="shared" si="44"/>
        <v>0</v>
      </c>
      <c r="T399" s="131"/>
      <c r="U399" s="78"/>
      <c r="V399" s="11"/>
      <c r="W399" s="11"/>
      <c r="X399" s="11"/>
      <c r="Z399" s="88" t="str">
        <f t="shared" si="11"/>
        <v> - </v>
      </c>
      <c r="AA399" s="13">
        <f t="shared" si="12"/>
        <v>399</v>
      </c>
    </row>
    <row r="400">
      <c r="R400" s="11"/>
      <c r="S400" s="117">
        <f t="shared" si="44"/>
        <v>0</v>
      </c>
      <c r="T400" s="131"/>
      <c r="U400" s="78"/>
      <c r="V400" s="11"/>
      <c r="W400" s="11"/>
      <c r="X400" s="11"/>
      <c r="Z400" s="88" t="str">
        <f t="shared" si="11"/>
        <v> - </v>
      </c>
      <c r="AA400" s="13">
        <f t="shared" si="12"/>
        <v>400</v>
      </c>
    </row>
    <row r="401">
      <c r="R401" s="11"/>
      <c r="S401" s="117">
        <f t="shared" si="44"/>
        <v>0.025</v>
      </c>
      <c r="T401" s="89" t="s">
        <v>561</v>
      </c>
      <c r="U401" s="78" t="s">
        <v>567</v>
      </c>
      <c r="V401" s="78">
        <v>3.0</v>
      </c>
      <c r="W401" s="147">
        <f t="shared" ref="W401:W420" si="45">sum(V$401:V401)/( 305)*95</f>
        <v>0.9344262295</v>
      </c>
      <c r="X401" s="11"/>
      <c r="Z401" s="88" t="str">
        <f t="shared" si="11"/>
        <v>W04 - Do</v>
      </c>
      <c r="AA401" s="13">
        <f t="shared" si="12"/>
        <v>401</v>
      </c>
    </row>
    <row r="402">
      <c r="R402" s="11"/>
      <c r="S402" s="117">
        <f t="shared" si="44"/>
        <v>0.05833333333</v>
      </c>
      <c r="T402" s="89" t="s">
        <v>561</v>
      </c>
      <c r="U402" s="78" t="s">
        <v>568</v>
      </c>
      <c r="V402" s="78">
        <v>7.0</v>
      </c>
      <c r="W402" s="147">
        <f t="shared" si="45"/>
        <v>3.114754098</v>
      </c>
      <c r="X402" s="78" t="s">
        <v>130</v>
      </c>
      <c r="Z402" s="88" t="str">
        <f t="shared" si="11"/>
        <v>W04 - Do</v>
      </c>
      <c r="AA402" s="13">
        <f t="shared" si="12"/>
        <v>402</v>
      </c>
    </row>
    <row r="403">
      <c r="R403" s="11"/>
      <c r="S403" s="117">
        <f t="shared" si="44"/>
        <v>0.125</v>
      </c>
      <c r="T403" s="89" t="s">
        <v>561</v>
      </c>
      <c r="U403" s="78" t="s">
        <v>569</v>
      </c>
      <c r="V403" s="78">
        <v>15.0</v>
      </c>
      <c r="W403" s="147">
        <f t="shared" si="45"/>
        <v>7.786885246</v>
      </c>
      <c r="X403" s="11">
        <f>SUM(V402:V420)</f>
        <v>302</v>
      </c>
      <c r="Z403" s="88" t="str">
        <f t="shared" si="11"/>
        <v>W04 - Do</v>
      </c>
      <c r="AA403" s="13">
        <f t="shared" si="12"/>
        <v>403</v>
      </c>
    </row>
    <row r="404">
      <c r="R404" s="11"/>
      <c r="S404" s="117">
        <f t="shared" si="44"/>
        <v>0.1666666667</v>
      </c>
      <c r="T404" s="89" t="s">
        <v>561</v>
      </c>
      <c r="U404" s="78" t="s">
        <v>570</v>
      </c>
      <c r="V404" s="78">
        <v>20.0</v>
      </c>
      <c r="W404" s="147">
        <f t="shared" si="45"/>
        <v>14.01639344</v>
      </c>
      <c r="X404" s="94">
        <f>X403/60</f>
        <v>5.033333333</v>
      </c>
      <c r="Z404" s="88" t="str">
        <f t="shared" si="11"/>
        <v>W04 - Do</v>
      </c>
      <c r="AA404" s="13">
        <f t="shared" si="12"/>
        <v>404</v>
      </c>
    </row>
    <row r="405">
      <c r="R405" s="11"/>
      <c r="S405" s="117">
        <f t="shared" si="44"/>
        <v>0.1</v>
      </c>
      <c r="T405" s="89" t="s">
        <v>561</v>
      </c>
      <c r="U405" s="78" t="s">
        <v>571</v>
      </c>
      <c r="V405" s="78">
        <v>12.0</v>
      </c>
      <c r="W405" s="147">
        <f t="shared" si="45"/>
        <v>17.75409836</v>
      </c>
      <c r="X405" s="11"/>
      <c r="Z405" s="88" t="str">
        <f t="shared" si="11"/>
        <v>W04 - Do</v>
      </c>
      <c r="AA405" s="13">
        <f t="shared" si="12"/>
        <v>405</v>
      </c>
    </row>
    <row r="406">
      <c r="R406" s="11"/>
      <c r="S406" s="117">
        <f t="shared" si="44"/>
        <v>0.1</v>
      </c>
      <c r="T406" s="89" t="s">
        <v>561</v>
      </c>
      <c r="U406" s="78" t="s">
        <v>572</v>
      </c>
      <c r="V406" s="78">
        <v>12.0</v>
      </c>
      <c r="W406" s="147">
        <f t="shared" si="45"/>
        <v>21.49180328</v>
      </c>
      <c r="X406" s="11"/>
      <c r="Z406" s="88" t="str">
        <f t="shared" si="11"/>
        <v>W04 - Do</v>
      </c>
      <c r="AA406" s="13">
        <f t="shared" si="12"/>
        <v>406</v>
      </c>
    </row>
    <row r="407">
      <c r="R407" s="11"/>
      <c r="S407" s="117">
        <f t="shared" si="44"/>
        <v>0.2416666667</v>
      </c>
      <c r="T407" s="89" t="s">
        <v>561</v>
      </c>
      <c r="U407" s="78" t="s">
        <v>573</v>
      </c>
      <c r="V407" s="78">
        <v>29.0</v>
      </c>
      <c r="W407" s="147">
        <f t="shared" si="45"/>
        <v>30.52459016</v>
      </c>
      <c r="X407" s="11"/>
      <c r="Z407" s="88" t="str">
        <f t="shared" si="11"/>
        <v>W04 - Do</v>
      </c>
      <c r="AA407" s="13">
        <f t="shared" si="12"/>
        <v>407</v>
      </c>
    </row>
    <row r="408">
      <c r="R408" s="11"/>
      <c r="S408" s="117">
        <f t="shared" si="44"/>
        <v>0.09166666667</v>
      </c>
      <c r="T408" s="89" t="s">
        <v>561</v>
      </c>
      <c r="U408" s="78" t="s">
        <v>574</v>
      </c>
      <c r="V408" s="78">
        <v>11.0</v>
      </c>
      <c r="W408" s="147">
        <f t="shared" si="45"/>
        <v>33.95081967</v>
      </c>
      <c r="X408" s="11"/>
      <c r="Z408" s="88" t="str">
        <f t="shared" si="11"/>
        <v>W04 - Do</v>
      </c>
      <c r="AA408" s="13">
        <f t="shared" si="12"/>
        <v>408</v>
      </c>
    </row>
    <row r="409">
      <c r="R409" s="11"/>
      <c r="S409" s="117">
        <f t="shared" si="44"/>
        <v>0.1916666667</v>
      </c>
      <c r="T409" s="89" t="s">
        <v>561</v>
      </c>
      <c r="U409" s="78" t="s">
        <v>575</v>
      </c>
      <c r="V409" s="78">
        <v>23.0</v>
      </c>
      <c r="W409" s="147">
        <f t="shared" si="45"/>
        <v>41.1147541</v>
      </c>
      <c r="X409" s="11"/>
      <c r="Z409" s="88" t="str">
        <f t="shared" si="11"/>
        <v>W04 - Do</v>
      </c>
      <c r="AA409" s="13">
        <f t="shared" si="12"/>
        <v>409</v>
      </c>
    </row>
    <row r="410">
      <c r="R410" s="11"/>
      <c r="S410" s="117">
        <f t="shared" si="44"/>
        <v>0.1666666667</v>
      </c>
      <c r="T410" s="89" t="s">
        <v>561</v>
      </c>
      <c r="U410" s="78" t="s">
        <v>576</v>
      </c>
      <c r="V410" s="78">
        <v>20.0</v>
      </c>
      <c r="W410" s="147">
        <f t="shared" si="45"/>
        <v>47.3442623</v>
      </c>
      <c r="X410" s="11"/>
      <c r="Z410" s="88" t="str">
        <f t="shared" si="11"/>
        <v>W04 - Do</v>
      </c>
      <c r="AA410" s="13">
        <f t="shared" si="12"/>
        <v>410</v>
      </c>
    </row>
    <row r="411">
      <c r="R411" s="11"/>
      <c r="S411" s="117">
        <f t="shared" si="44"/>
        <v>0.1666666667</v>
      </c>
      <c r="T411" s="89" t="s">
        <v>561</v>
      </c>
      <c r="U411" s="78" t="s">
        <v>577</v>
      </c>
      <c r="V411" s="78">
        <v>20.0</v>
      </c>
      <c r="W411" s="147">
        <f t="shared" si="45"/>
        <v>53.57377049</v>
      </c>
      <c r="X411" s="11"/>
      <c r="Z411" s="88" t="str">
        <f t="shared" si="11"/>
        <v>W04 - Do</v>
      </c>
      <c r="AA411" s="13">
        <f t="shared" si="12"/>
        <v>411</v>
      </c>
    </row>
    <row r="412">
      <c r="R412" s="11"/>
      <c r="S412" s="117">
        <f t="shared" si="44"/>
        <v>0.09166666667</v>
      </c>
      <c r="T412" s="89" t="s">
        <v>561</v>
      </c>
      <c r="U412" s="78" t="s">
        <v>578</v>
      </c>
      <c r="V412" s="78">
        <v>11.0</v>
      </c>
      <c r="W412" s="147">
        <f t="shared" si="45"/>
        <v>57</v>
      </c>
      <c r="X412" s="11"/>
      <c r="Z412" s="88" t="str">
        <f t="shared" si="11"/>
        <v>W04 - Do</v>
      </c>
      <c r="AA412" s="13">
        <f t="shared" si="12"/>
        <v>412</v>
      </c>
    </row>
    <row r="413">
      <c r="R413" s="11"/>
      <c r="S413" s="117">
        <f t="shared" si="44"/>
        <v>0.1</v>
      </c>
      <c r="T413" s="89" t="s">
        <v>561</v>
      </c>
      <c r="U413" s="78" t="s">
        <v>579</v>
      </c>
      <c r="V413" s="78">
        <v>12.0</v>
      </c>
      <c r="W413" s="147">
        <f t="shared" si="45"/>
        <v>60.73770492</v>
      </c>
      <c r="X413" s="11"/>
      <c r="Z413" s="88" t="str">
        <f t="shared" si="11"/>
        <v>W04 - Do</v>
      </c>
      <c r="AA413" s="13">
        <f t="shared" si="12"/>
        <v>413</v>
      </c>
    </row>
    <row r="414">
      <c r="R414" s="11"/>
      <c r="S414" s="117">
        <f t="shared" si="44"/>
        <v>0.2333333333</v>
      </c>
      <c r="T414" s="89" t="s">
        <v>561</v>
      </c>
      <c r="U414" s="78" t="s">
        <v>580</v>
      </c>
      <c r="V414" s="78">
        <v>28.0</v>
      </c>
      <c r="W414" s="147">
        <f t="shared" si="45"/>
        <v>69.45901639</v>
      </c>
      <c r="X414" s="11"/>
      <c r="Z414" s="88" t="str">
        <f t="shared" si="11"/>
        <v>W04 - Do</v>
      </c>
      <c r="AA414" s="13">
        <f t="shared" si="12"/>
        <v>414</v>
      </c>
    </row>
    <row r="415">
      <c r="R415" s="11"/>
      <c r="S415" s="117">
        <f t="shared" si="44"/>
        <v>0.03333333333</v>
      </c>
      <c r="T415" s="89" t="s">
        <v>561</v>
      </c>
      <c r="U415" s="78" t="s">
        <v>581</v>
      </c>
      <c r="V415" s="78">
        <v>4.0</v>
      </c>
      <c r="W415" s="147">
        <f t="shared" si="45"/>
        <v>70.70491803</v>
      </c>
      <c r="X415" s="11"/>
      <c r="Z415" s="88" t="str">
        <f t="shared" si="11"/>
        <v>W04 - Do</v>
      </c>
      <c r="AA415" s="13">
        <f t="shared" si="12"/>
        <v>415</v>
      </c>
    </row>
    <row r="416">
      <c r="R416" s="11"/>
      <c r="S416" s="117">
        <f t="shared" si="44"/>
        <v>0.1333333333</v>
      </c>
      <c r="T416" s="89" t="s">
        <v>561</v>
      </c>
      <c r="U416" s="78" t="s">
        <v>582</v>
      </c>
      <c r="V416" s="78">
        <v>16.0</v>
      </c>
      <c r="W416" s="147">
        <f t="shared" si="45"/>
        <v>75.68852459</v>
      </c>
      <c r="X416" s="11"/>
      <c r="Z416" s="88" t="str">
        <f t="shared" si="11"/>
        <v>W04 - Do</v>
      </c>
      <c r="AA416" s="13">
        <f t="shared" si="12"/>
        <v>416</v>
      </c>
    </row>
    <row r="417">
      <c r="R417" s="11"/>
      <c r="S417" s="117">
        <f t="shared" si="44"/>
        <v>0.08333333333</v>
      </c>
      <c r="T417" s="89" t="s">
        <v>561</v>
      </c>
      <c r="U417" s="78" t="s">
        <v>583</v>
      </c>
      <c r="V417" s="78">
        <v>10.0</v>
      </c>
      <c r="W417" s="147">
        <f t="shared" si="45"/>
        <v>78.80327869</v>
      </c>
      <c r="X417" s="11"/>
      <c r="Z417" s="88" t="str">
        <f t="shared" si="11"/>
        <v>W04 - Do</v>
      </c>
      <c r="AA417" s="13">
        <f t="shared" si="12"/>
        <v>417</v>
      </c>
    </row>
    <row r="418">
      <c r="R418" s="11"/>
      <c r="S418" s="117">
        <f t="shared" si="44"/>
        <v>0.1166666667</v>
      </c>
      <c r="T418" s="89" t="s">
        <v>561</v>
      </c>
      <c r="U418" s="78" t="s">
        <v>584</v>
      </c>
      <c r="V418" s="78">
        <v>14.0</v>
      </c>
      <c r="W418" s="147">
        <f t="shared" si="45"/>
        <v>83.16393443</v>
      </c>
      <c r="X418" s="11"/>
      <c r="Z418" s="88" t="str">
        <f t="shared" si="11"/>
        <v>W04 - Do</v>
      </c>
      <c r="AA418" s="13">
        <f t="shared" si="12"/>
        <v>418</v>
      </c>
    </row>
    <row r="419">
      <c r="R419" s="11"/>
      <c r="S419" s="117">
        <f t="shared" si="44"/>
        <v>0.1166666667</v>
      </c>
      <c r="T419" s="89" t="s">
        <v>561</v>
      </c>
      <c r="U419" s="78" t="s">
        <v>585</v>
      </c>
      <c r="V419" s="78">
        <v>14.0</v>
      </c>
      <c r="W419" s="147">
        <f t="shared" si="45"/>
        <v>87.52459016</v>
      </c>
      <c r="X419" s="11"/>
      <c r="Z419" s="88" t="str">
        <f t="shared" si="11"/>
        <v>W04 - Do</v>
      </c>
      <c r="AA419" s="13">
        <f t="shared" si="12"/>
        <v>419</v>
      </c>
    </row>
    <row r="420">
      <c r="R420" s="11"/>
      <c r="S420" s="117">
        <f t="shared" si="44"/>
        <v>0.2</v>
      </c>
      <c r="T420" s="89" t="s">
        <v>561</v>
      </c>
      <c r="U420" s="78" t="s">
        <v>586</v>
      </c>
      <c r="V420" s="78">
        <v>24.0</v>
      </c>
      <c r="W420" s="147">
        <f t="shared" si="45"/>
        <v>95</v>
      </c>
      <c r="X420" s="11"/>
      <c r="Z420" s="88" t="str">
        <f t="shared" si="11"/>
        <v>W04 - Do</v>
      </c>
      <c r="AA420" s="13">
        <f t="shared" si="12"/>
        <v>420</v>
      </c>
    </row>
    <row r="421">
      <c r="R421" s="11"/>
      <c r="S421" s="117">
        <f t="shared" si="44"/>
        <v>0</v>
      </c>
      <c r="T421" s="131"/>
      <c r="U421" s="78"/>
      <c r="V421" s="11"/>
      <c r="W421" s="11"/>
      <c r="X421" s="11"/>
      <c r="Z421" s="88" t="str">
        <f t="shared" si="11"/>
        <v> - </v>
      </c>
      <c r="AA421" s="13">
        <f t="shared" si="12"/>
        <v>421</v>
      </c>
    </row>
    <row r="422">
      <c r="R422" s="11"/>
      <c r="S422" s="117">
        <f t="shared" si="44"/>
        <v>0</v>
      </c>
      <c r="T422" s="131"/>
      <c r="U422" s="78"/>
      <c r="V422" s="11"/>
      <c r="W422" s="11"/>
      <c r="X422" s="11"/>
      <c r="Z422" s="88" t="str">
        <f t="shared" si="11"/>
        <v> - </v>
      </c>
      <c r="AA422" s="13">
        <f t="shared" si="12"/>
        <v>422</v>
      </c>
    </row>
    <row r="423">
      <c r="R423" s="11"/>
      <c r="S423" s="117">
        <f t="shared" si="44"/>
        <v>0.4166666667</v>
      </c>
      <c r="T423" s="89" t="s">
        <v>561</v>
      </c>
      <c r="U423" s="78" t="s">
        <v>587</v>
      </c>
      <c r="V423" s="78">
        <v>50.0</v>
      </c>
      <c r="W423" s="11"/>
      <c r="X423" s="78" t="s">
        <v>130</v>
      </c>
      <c r="Z423" s="88" t="str">
        <f t="shared" si="11"/>
        <v>W04 - Do</v>
      </c>
      <c r="AA423" s="13">
        <f t="shared" si="12"/>
        <v>423</v>
      </c>
    </row>
    <row r="424">
      <c r="R424" s="11"/>
      <c r="S424" s="117">
        <f t="shared" si="44"/>
        <v>0.4416666667</v>
      </c>
      <c r="T424" s="89" t="s">
        <v>561</v>
      </c>
      <c r="U424" s="78" t="s">
        <v>588</v>
      </c>
      <c r="V424" s="78">
        <v>53.0</v>
      </c>
      <c r="W424" s="11"/>
      <c r="X424" s="11">
        <f>SUM(V423:V432)</f>
        <v>430</v>
      </c>
      <c r="Z424" s="88" t="str">
        <f t="shared" si="11"/>
        <v>W04 - Do</v>
      </c>
      <c r="AA424" s="13">
        <f t="shared" si="12"/>
        <v>424</v>
      </c>
    </row>
    <row r="425">
      <c r="R425" s="11"/>
      <c r="S425" s="117">
        <f t="shared" si="44"/>
        <v>0.4583333333</v>
      </c>
      <c r="T425" s="89" t="s">
        <v>589</v>
      </c>
      <c r="U425" s="78" t="s">
        <v>590</v>
      </c>
      <c r="V425" s="78">
        <v>55.0</v>
      </c>
      <c r="W425" s="11"/>
      <c r="X425" s="94">
        <f>X424/60</f>
        <v>7.166666667</v>
      </c>
      <c r="Z425" s="88" t="str">
        <f t="shared" si="11"/>
        <v>W05 - Lu</v>
      </c>
      <c r="AA425" s="13">
        <f t="shared" si="12"/>
        <v>425</v>
      </c>
    </row>
    <row r="426">
      <c r="R426" s="11"/>
      <c r="S426" s="145">
        <f t="shared" si="44"/>
        <v>0.4166666667</v>
      </c>
      <c r="T426" s="89" t="s">
        <v>589</v>
      </c>
      <c r="U426" s="78" t="s">
        <v>591</v>
      </c>
      <c r="V426" s="78">
        <v>50.0</v>
      </c>
      <c r="W426" s="11"/>
      <c r="X426" s="11"/>
      <c r="Z426" s="88" t="str">
        <f t="shared" si="11"/>
        <v>W05 - Lu</v>
      </c>
      <c r="AA426" s="13">
        <f t="shared" si="12"/>
        <v>426</v>
      </c>
    </row>
    <row r="427">
      <c r="R427" s="11"/>
      <c r="S427" s="117">
        <f t="shared" si="44"/>
        <v>0.4333333333</v>
      </c>
      <c r="T427" s="89" t="s">
        <v>589</v>
      </c>
      <c r="U427" s="78" t="s">
        <v>592</v>
      </c>
      <c r="V427" s="78">
        <v>52.0</v>
      </c>
      <c r="W427" s="11"/>
      <c r="X427" s="11"/>
      <c r="Z427" s="88" t="str">
        <f t="shared" si="11"/>
        <v>W05 - Lu</v>
      </c>
      <c r="AA427" s="13">
        <f t="shared" si="12"/>
        <v>427</v>
      </c>
    </row>
    <row r="428">
      <c r="R428" s="11"/>
      <c r="S428" s="117">
        <f t="shared" si="44"/>
        <v>0.4333333333</v>
      </c>
      <c r="T428" s="89" t="s">
        <v>589</v>
      </c>
      <c r="U428" s="78" t="s">
        <v>593</v>
      </c>
      <c r="V428" s="78">
        <v>52.0</v>
      </c>
      <c r="W428" s="11"/>
      <c r="X428" s="11"/>
      <c r="Z428" s="88" t="str">
        <f t="shared" si="11"/>
        <v>W05 - Lu</v>
      </c>
      <c r="AA428" s="13">
        <f t="shared" si="12"/>
        <v>428</v>
      </c>
    </row>
    <row r="429">
      <c r="R429" s="11"/>
      <c r="S429" s="117">
        <f t="shared" si="44"/>
        <v>0.2583333333</v>
      </c>
      <c r="T429" s="89" t="s">
        <v>589</v>
      </c>
      <c r="U429" s="78" t="s">
        <v>594</v>
      </c>
      <c r="V429" s="78">
        <v>31.0</v>
      </c>
      <c r="W429" s="11"/>
      <c r="X429" s="11"/>
      <c r="Z429" s="88" t="str">
        <f t="shared" si="11"/>
        <v>W05 - Lu</v>
      </c>
      <c r="AA429" s="13">
        <f t="shared" si="12"/>
        <v>429</v>
      </c>
    </row>
    <row r="430">
      <c r="R430" s="11"/>
      <c r="S430" s="117">
        <f t="shared" si="44"/>
        <v>0.2833333333</v>
      </c>
      <c r="T430" s="89" t="s">
        <v>589</v>
      </c>
      <c r="U430" s="78" t="s">
        <v>595</v>
      </c>
      <c r="V430" s="78">
        <v>34.0</v>
      </c>
      <c r="W430" s="11"/>
      <c r="X430" s="11"/>
      <c r="Z430" s="88" t="str">
        <f t="shared" si="11"/>
        <v>W05 - Lu</v>
      </c>
      <c r="AA430" s="13">
        <f t="shared" si="12"/>
        <v>430</v>
      </c>
    </row>
    <row r="431">
      <c r="R431" s="11"/>
      <c r="S431" s="117">
        <f t="shared" si="44"/>
        <v>0.25</v>
      </c>
      <c r="T431" s="89" t="s">
        <v>589</v>
      </c>
      <c r="U431" s="78" t="s">
        <v>596</v>
      </c>
      <c r="V431" s="78">
        <v>30.0</v>
      </c>
      <c r="W431" s="11"/>
      <c r="X431" s="11"/>
      <c r="Z431" s="88" t="str">
        <f t="shared" si="11"/>
        <v>W05 - Lu</v>
      </c>
      <c r="AA431" s="13">
        <f t="shared" si="12"/>
        <v>431</v>
      </c>
    </row>
    <row r="432">
      <c r="R432" s="11"/>
      <c r="S432" s="117">
        <f t="shared" si="44"/>
        <v>0.1916666667</v>
      </c>
      <c r="T432" s="89" t="s">
        <v>589</v>
      </c>
      <c r="U432" s="78" t="s">
        <v>597</v>
      </c>
      <c r="V432" s="78">
        <v>23.0</v>
      </c>
      <c r="W432" s="11"/>
      <c r="X432" s="11"/>
      <c r="Z432" s="88" t="str">
        <f t="shared" si="11"/>
        <v>W05 - Lu</v>
      </c>
      <c r="AA432" s="13">
        <f t="shared" si="12"/>
        <v>432</v>
      </c>
    </row>
    <row r="433">
      <c r="R433" s="11"/>
      <c r="S433" s="117">
        <f t="shared" si="44"/>
        <v>0</v>
      </c>
      <c r="T433" s="131"/>
      <c r="U433" s="78"/>
      <c r="V433" s="11"/>
      <c r="W433" s="11"/>
      <c r="X433" s="11"/>
      <c r="Z433" s="88" t="str">
        <f t="shared" si="11"/>
        <v> - </v>
      </c>
      <c r="AA433" s="13">
        <f t="shared" si="12"/>
        <v>433</v>
      </c>
    </row>
    <row r="434">
      <c r="R434" s="11"/>
      <c r="S434" s="117">
        <f t="shared" si="44"/>
        <v>0.2416666667</v>
      </c>
      <c r="T434" s="89" t="s">
        <v>589</v>
      </c>
      <c r="U434" s="78" t="s">
        <v>598</v>
      </c>
      <c r="V434" s="78">
        <v>29.0</v>
      </c>
      <c r="W434" s="11"/>
      <c r="X434" s="78" t="s">
        <v>130</v>
      </c>
      <c r="Z434" s="88" t="str">
        <f t="shared" si="11"/>
        <v>W05 - Lu</v>
      </c>
      <c r="AA434" s="13">
        <f t="shared" si="12"/>
        <v>434</v>
      </c>
    </row>
    <row r="435">
      <c r="R435" s="11"/>
      <c r="S435" s="117">
        <f t="shared" si="44"/>
        <v>0.525</v>
      </c>
      <c r="T435" s="89" t="s">
        <v>599</v>
      </c>
      <c r="U435" s="78" t="s">
        <v>600</v>
      </c>
      <c r="V435" s="78">
        <v>63.0</v>
      </c>
      <c r="W435" s="11"/>
      <c r="X435" s="11">
        <f>SUM(V434:V441)</f>
        <v>427</v>
      </c>
      <c r="Z435" s="88" t="str">
        <f t="shared" si="11"/>
        <v>W05 - Ma</v>
      </c>
      <c r="AA435" s="13">
        <f t="shared" si="12"/>
        <v>435</v>
      </c>
    </row>
    <row r="436">
      <c r="R436" s="11"/>
      <c r="S436" s="117">
        <f t="shared" si="44"/>
        <v>0.55</v>
      </c>
      <c r="T436" s="89" t="s">
        <v>599</v>
      </c>
      <c r="U436" s="78" t="s">
        <v>601</v>
      </c>
      <c r="V436" s="78">
        <v>66.0</v>
      </c>
      <c r="W436" s="11"/>
      <c r="X436" s="94">
        <f>X435/60</f>
        <v>7.116666667</v>
      </c>
      <c r="Z436" s="88" t="str">
        <f t="shared" si="11"/>
        <v>W05 - Ma</v>
      </c>
      <c r="AA436" s="13">
        <f t="shared" si="12"/>
        <v>436</v>
      </c>
    </row>
    <row r="437">
      <c r="R437" s="11"/>
      <c r="S437" s="117">
        <f t="shared" si="44"/>
        <v>0.5833333333</v>
      </c>
      <c r="T437" s="89" t="s">
        <v>602</v>
      </c>
      <c r="U437" s="78" t="s">
        <v>603</v>
      </c>
      <c r="V437" s="78">
        <v>70.0</v>
      </c>
      <c r="W437" s="11"/>
      <c r="X437" s="11"/>
      <c r="Z437" s="88" t="str">
        <f t="shared" si="11"/>
        <v>W05 - Mi</v>
      </c>
      <c r="AA437" s="13">
        <f t="shared" si="12"/>
        <v>437</v>
      </c>
    </row>
    <row r="438">
      <c r="R438" s="11"/>
      <c r="S438" s="117">
        <f t="shared" si="44"/>
        <v>0.6</v>
      </c>
      <c r="T438" s="89" t="s">
        <v>602</v>
      </c>
      <c r="U438" s="78" t="s">
        <v>604</v>
      </c>
      <c r="V438" s="78">
        <v>72.0</v>
      </c>
      <c r="W438" s="11"/>
      <c r="X438" s="11"/>
      <c r="Z438" s="88" t="str">
        <f t="shared" si="11"/>
        <v>W05 - Mi</v>
      </c>
      <c r="AA438" s="13">
        <f t="shared" si="12"/>
        <v>438</v>
      </c>
    </row>
    <row r="439">
      <c r="R439" s="11"/>
      <c r="S439" s="117">
        <f t="shared" si="44"/>
        <v>0.5833333333</v>
      </c>
      <c r="T439" s="89" t="s">
        <v>602</v>
      </c>
      <c r="U439" s="78" t="s">
        <v>605</v>
      </c>
      <c r="V439" s="78">
        <v>70.0</v>
      </c>
      <c r="W439" s="11"/>
      <c r="X439" s="11"/>
      <c r="Z439" s="88" t="str">
        <f t="shared" si="11"/>
        <v>W05 - Mi</v>
      </c>
      <c r="AA439" s="13">
        <f t="shared" si="12"/>
        <v>439</v>
      </c>
    </row>
    <row r="440">
      <c r="R440" s="11"/>
      <c r="S440" s="117">
        <f t="shared" si="44"/>
        <v>0.04166666667</v>
      </c>
      <c r="T440" s="89" t="s">
        <v>602</v>
      </c>
      <c r="U440" s="78" t="s">
        <v>606</v>
      </c>
      <c r="V440" s="78">
        <v>5.0</v>
      </c>
      <c r="W440" s="11"/>
      <c r="X440" s="11"/>
      <c r="Z440" s="88" t="str">
        <f t="shared" si="11"/>
        <v>W05 - Mi</v>
      </c>
      <c r="AA440" s="13">
        <f t="shared" si="12"/>
        <v>440</v>
      </c>
    </row>
    <row r="441">
      <c r="R441" s="78" t="s">
        <v>430</v>
      </c>
      <c r="S441" s="146">
        <f t="shared" si="44"/>
        <v>0.4333333333</v>
      </c>
      <c r="T441" s="89" t="s">
        <v>602</v>
      </c>
      <c r="U441" s="78" t="s">
        <v>607</v>
      </c>
      <c r="V441" s="78">
        <v>52.0</v>
      </c>
      <c r="W441" s="11"/>
      <c r="Z441" s="88" t="str">
        <f t="shared" si="11"/>
        <v>W05 - Mi</v>
      </c>
      <c r="AA441" s="13">
        <f t="shared" si="12"/>
        <v>441</v>
      </c>
    </row>
    <row r="442">
      <c r="S442" s="11"/>
      <c r="T442" s="11"/>
      <c r="U442" s="78"/>
      <c r="V442" s="11"/>
      <c r="W442" s="11"/>
      <c r="Z442" s="88" t="str">
        <f t="shared" si="11"/>
        <v> - </v>
      </c>
      <c r="AA442" s="13">
        <f t="shared" si="12"/>
        <v>442</v>
      </c>
    </row>
    <row r="443">
      <c r="S443" s="78" t="s">
        <v>608</v>
      </c>
      <c r="T443" s="78" t="s">
        <v>609</v>
      </c>
      <c r="U443" s="78" t="s">
        <v>610</v>
      </c>
      <c r="V443" s="78">
        <v>22.0</v>
      </c>
      <c r="W443" s="11"/>
      <c r="X443" s="78" t="s">
        <v>130</v>
      </c>
      <c r="Z443" s="88" t="str">
        <f t="shared" si="11"/>
        <v>INT - UC</v>
      </c>
      <c r="AA443" s="13">
        <f t="shared" si="12"/>
        <v>443</v>
      </c>
    </row>
    <row r="444">
      <c r="S444" s="78" t="s">
        <v>608</v>
      </c>
      <c r="T444" s="78" t="s">
        <v>609</v>
      </c>
      <c r="U444" s="78" t="s">
        <v>611</v>
      </c>
      <c r="V444" s="78">
        <v>21.0</v>
      </c>
      <c r="W444" s="11"/>
      <c r="X444" s="11">
        <f>SUM(V443:V446)</f>
        <v>50</v>
      </c>
      <c r="Z444" s="88" t="str">
        <f t="shared" si="11"/>
        <v>INT - UC</v>
      </c>
      <c r="AA444" s="13">
        <f t="shared" si="12"/>
        <v>444</v>
      </c>
    </row>
    <row r="445">
      <c r="S445" s="78" t="s">
        <v>608</v>
      </c>
      <c r="T445" s="78" t="s">
        <v>609</v>
      </c>
      <c r="U445" s="78" t="s">
        <v>612</v>
      </c>
      <c r="V445" s="78">
        <v>6.0</v>
      </c>
      <c r="W445" s="11"/>
      <c r="X445" s="94">
        <f>X444/60</f>
        <v>0.8333333333</v>
      </c>
      <c r="Z445" s="88" t="str">
        <f t="shared" si="11"/>
        <v>INT - UC</v>
      </c>
      <c r="AA445" s="13">
        <f t="shared" si="12"/>
        <v>445</v>
      </c>
    </row>
    <row r="446">
      <c r="S446" s="78" t="s">
        <v>608</v>
      </c>
      <c r="T446" s="78" t="s">
        <v>609</v>
      </c>
      <c r="U446" s="78" t="s">
        <v>613</v>
      </c>
      <c r="V446" s="78">
        <v>1.0</v>
      </c>
      <c r="W446" s="11"/>
      <c r="Z446" s="88" t="str">
        <f t="shared" si="11"/>
        <v>INT - UC</v>
      </c>
      <c r="AA446" s="13">
        <f t="shared" si="12"/>
        <v>446</v>
      </c>
    </row>
    <row r="447">
      <c r="S447" s="78" t="s">
        <v>608</v>
      </c>
      <c r="T447" s="78" t="s">
        <v>614</v>
      </c>
      <c r="U447" s="78" t="s">
        <v>615</v>
      </c>
      <c r="V447" s="78">
        <v>55.0</v>
      </c>
      <c r="W447" s="11"/>
      <c r="X447" s="78" t="s">
        <v>130</v>
      </c>
      <c r="Z447" s="88" t="str">
        <f t="shared" si="11"/>
        <v>PRE - K </v>
      </c>
      <c r="AA447" s="13">
        <f t="shared" si="12"/>
        <v>447</v>
      </c>
    </row>
    <row r="448">
      <c r="S448" s="78" t="s">
        <v>608</v>
      </c>
      <c r="T448" s="78" t="s">
        <v>614</v>
      </c>
      <c r="U448" s="78" t="s">
        <v>616</v>
      </c>
      <c r="V448" s="78">
        <v>52.0</v>
      </c>
      <c r="W448" s="11"/>
      <c r="X448" s="11">
        <f>SUM(V447:V449)</f>
        <v>137</v>
      </c>
      <c r="Z448" s="88" t="str">
        <f t="shared" si="11"/>
        <v>PRE - K </v>
      </c>
      <c r="AA448" s="13">
        <f t="shared" si="12"/>
        <v>448</v>
      </c>
    </row>
    <row r="449">
      <c r="S449" s="78" t="s">
        <v>608</v>
      </c>
      <c r="T449" s="78" t="s">
        <v>614</v>
      </c>
      <c r="U449" s="78" t="s">
        <v>617</v>
      </c>
      <c r="V449" s="78">
        <v>30.0</v>
      </c>
      <c r="W449" s="11"/>
      <c r="X449" s="94">
        <f>X448/60</f>
        <v>2.283333333</v>
      </c>
      <c r="Z449" s="88" t="str">
        <f t="shared" si="11"/>
        <v>PRE - K </v>
      </c>
      <c r="AA449" s="13">
        <f t="shared" si="12"/>
        <v>449</v>
      </c>
    </row>
    <row r="450">
      <c r="S450" s="78" t="s">
        <v>608</v>
      </c>
      <c r="T450" s="78" t="s">
        <v>618</v>
      </c>
      <c r="U450" s="78" t="s">
        <v>619</v>
      </c>
      <c r="V450" s="78">
        <v>90.0</v>
      </c>
      <c r="W450" s="11"/>
      <c r="X450" s="78" t="s">
        <v>130</v>
      </c>
      <c r="Z450" s="88" t="str">
        <f t="shared" si="11"/>
        <v>PRE - K </v>
      </c>
      <c r="AA450" s="13">
        <f t="shared" si="12"/>
        <v>450</v>
      </c>
    </row>
    <row r="451">
      <c r="S451" s="78" t="s">
        <v>608</v>
      </c>
      <c r="T451" s="78" t="s">
        <v>618</v>
      </c>
      <c r="U451" s="78" t="s">
        <v>620</v>
      </c>
      <c r="V451" s="78">
        <v>30.0</v>
      </c>
      <c r="W451" s="11"/>
      <c r="X451" s="11">
        <f>SUM(V450:V461)</f>
        <v>695</v>
      </c>
      <c r="Z451" s="88" t="str">
        <f t="shared" si="11"/>
        <v>PRE - K </v>
      </c>
      <c r="AA451" s="13">
        <f t="shared" si="12"/>
        <v>451</v>
      </c>
    </row>
    <row r="452">
      <c r="S452" s="78" t="s">
        <v>608</v>
      </c>
      <c r="T452" s="78" t="s">
        <v>618</v>
      </c>
      <c r="U452" s="78" t="s">
        <v>621</v>
      </c>
      <c r="V452" s="78">
        <v>62.0</v>
      </c>
      <c r="W452" s="11"/>
      <c r="X452" s="94">
        <f>X451/60</f>
        <v>11.58333333</v>
      </c>
      <c r="Z452" s="88" t="str">
        <f t="shared" si="11"/>
        <v>PRE - K </v>
      </c>
      <c r="AA452" s="13">
        <f t="shared" si="12"/>
        <v>452</v>
      </c>
    </row>
    <row r="453">
      <c r="S453" s="78" t="s">
        <v>608</v>
      </c>
      <c r="T453" s="78" t="s">
        <v>618</v>
      </c>
      <c r="U453" s="56" t="s">
        <v>622</v>
      </c>
      <c r="V453" s="78">
        <v>62.0</v>
      </c>
      <c r="Z453" s="88" t="str">
        <f t="shared" si="11"/>
        <v>PRE - K </v>
      </c>
      <c r="AA453" s="13">
        <f t="shared" si="12"/>
        <v>453</v>
      </c>
    </row>
    <row r="454">
      <c r="S454" s="78" t="s">
        <v>608</v>
      </c>
      <c r="T454" s="78" t="s">
        <v>618</v>
      </c>
      <c r="U454" s="56" t="s">
        <v>623</v>
      </c>
      <c r="V454" s="78">
        <v>33.0</v>
      </c>
      <c r="Z454" s="88" t="str">
        <f t="shared" si="11"/>
        <v>PRE - K </v>
      </c>
      <c r="AA454" s="13">
        <f t="shared" si="12"/>
        <v>454</v>
      </c>
    </row>
    <row r="455">
      <c r="S455" s="78" t="s">
        <v>608</v>
      </c>
      <c r="T455" s="78" t="s">
        <v>618</v>
      </c>
      <c r="U455" s="56" t="s">
        <v>624</v>
      </c>
      <c r="V455" s="78">
        <v>80.0</v>
      </c>
      <c r="Z455" s="88" t="str">
        <f t="shared" si="11"/>
        <v>PRE - K </v>
      </c>
      <c r="AA455" s="13">
        <f t="shared" si="12"/>
        <v>455</v>
      </c>
    </row>
    <row r="456">
      <c r="S456" s="78" t="s">
        <v>608</v>
      </c>
      <c r="T456" s="78" t="s">
        <v>618</v>
      </c>
      <c r="U456" s="56" t="s">
        <v>625</v>
      </c>
      <c r="V456" s="78">
        <v>40.0</v>
      </c>
      <c r="Z456" s="88" t="str">
        <f t="shared" si="11"/>
        <v>PRE - K </v>
      </c>
      <c r="AA456" s="13">
        <f t="shared" si="12"/>
        <v>456</v>
      </c>
    </row>
    <row r="457">
      <c r="S457" s="78" t="s">
        <v>608</v>
      </c>
      <c r="T457" s="78" t="s">
        <v>618</v>
      </c>
      <c r="U457" s="56" t="s">
        <v>626</v>
      </c>
      <c r="V457" s="78">
        <v>84.0</v>
      </c>
      <c r="Z457" s="88" t="str">
        <f t="shared" si="11"/>
        <v>PRE - K </v>
      </c>
      <c r="AA457" s="13">
        <f t="shared" si="12"/>
        <v>457</v>
      </c>
    </row>
    <row r="458">
      <c r="S458" s="78" t="s">
        <v>608</v>
      </c>
      <c r="T458" s="78" t="s">
        <v>618</v>
      </c>
      <c r="U458" s="56" t="s">
        <v>627</v>
      </c>
      <c r="V458" s="78">
        <v>70.0</v>
      </c>
      <c r="Z458" s="88" t="str">
        <f t="shared" si="11"/>
        <v>PRE - K </v>
      </c>
      <c r="AA458" s="13">
        <f t="shared" si="12"/>
        <v>458</v>
      </c>
    </row>
    <row r="459">
      <c r="S459" s="78" t="s">
        <v>608</v>
      </c>
      <c r="T459" s="78" t="s">
        <v>618</v>
      </c>
      <c r="U459" s="56" t="s">
        <v>628</v>
      </c>
      <c r="V459" s="78">
        <v>62.0</v>
      </c>
      <c r="Z459" s="88" t="str">
        <f t="shared" si="11"/>
        <v>PRE - K </v>
      </c>
      <c r="AA459" s="13">
        <f t="shared" si="12"/>
        <v>459</v>
      </c>
    </row>
    <row r="460">
      <c r="S460" s="78" t="s">
        <v>608</v>
      </c>
      <c r="T460" s="78" t="s">
        <v>618</v>
      </c>
      <c r="U460" s="56" t="s">
        <v>629</v>
      </c>
      <c r="V460" s="78">
        <v>80.0</v>
      </c>
      <c r="Z460" s="88" t="str">
        <f t="shared" si="11"/>
        <v>PRE - K </v>
      </c>
      <c r="AA460" s="13">
        <f t="shared" si="12"/>
        <v>460</v>
      </c>
    </row>
    <row r="461">
      <c r="S461" s="78" t="s">
        <v>608</v>
      </c>
      <c r="T461" s="78" t="s">
        <v>618</v>
      </c>
      <c r="U461" s="56" t="s">
        <v>630</v>
      </c>
      <c r="V461" s="78">
        <v>2.0</v>
      </c>
      <c r="Z461" s="88" t="str">
        <f t="shared" si="11"/>
        <v>PRE - K </v>
      </c>
      <c r="AA461" s="13">
        <f t="shared" si="12"/>
        <v>461</v>
      </c>
    </row>
    <row r="462">
      <c r="S462" s="78" t="s">
        <v>608</v>
      </c>
      <c r="T462" s="11"/>
      <c r="V462" s="11"/>
      <c r="Z462" s="88" t="str">
        <f t="shared" si="11"/>
        <v> - </v>
      </c>
      <c r="AA462" s="13">
        <f t="shared" si="12"/>
        <v>462</v>
      </c>
    </row>
    <row r="463">
      <c r="S463" s="78" t="s">
        <v>608</v>
      </c>
      <c r="T463" s="11"/>
      <c r="V463" s="11"/>
      <c r="Z463" s="88" t="str">
        <f t="shared" si="11"/>
        <v> - </v>
      </c>
      <c r="AA463" s="13">
        <f t="shared" si="12"/>
        <v>463</v>
      </c>
    </row>
    <row r="464">
      <c r="S464" s="78" t="s">
        <v>608</v>
      </c>
      <c r="T464" s="11"/>
      <c r="V464" s="11"/>
      <c r="Z464" s="88" t="str">
        <f t="shared" si="11"/>
        <v> - </v>
      </c>
      <c r="AA464" s="13">
        <f t="shared" si="12"/>
        <v>464</v>
      </c>
    </row>
    <row r="465">
      <c r="S465" s="78" t="s">
        <v>608</v>
      </c>
      <c r="T465" s="11"/>
      <c r="V465" s="11"/>
      <c r="Z465" s="88" t="str">
        <f t="shared" si="11"/>
        <v> - </v>
      </c>
      <c r="AA465" s="13">
        <f t="shared" si="12"/>
        <v>465</v>
      </c>
    </row>
    <row r="466">
      <c r="S466" s="78" t="s">
        <v>608</v>
      </c>
      <c r="T466" s="11"/>
      <c r="V466" s="11"/>
      <c r="Z466" s="88" t="str">
        <f t="shared" si="11"/>
        <v> - </v>
      </c>
      <c r="AA466" s="13">
        <f t="shared" si="12"/>
        <v>466</v>
      </c>
    </row>
    <row r="467">
      <c r="S467" s="78" t="s">
        <v>608</v>
      </c>
      <c r="T467" s="78" t="s">
        <v>631</v>
      </c>
      <c r="U467" s="56" t="s">
        <v>632</v>
      </c>
      <c r="V467" s="78">
        <v>44.0</v>
      </c>
      <c r="X467" s="78" t="s">
        <v>130</v>
      </c>
      <c r="Z467" s="88" t="str">
        <f t="shared" si="11"/>
        <v>PRE - K </v>
      </c>
      <c r="AA467" s="13">
        <f t="shared" si="12"/>
        <v>467</v>
      </c>
    </row>
    <row r="468">
      <c r="S468" s="78" t="s">
        <v>608</v>
      </c>
      <c r="T468" s="78" t="s">
        <v>631</v>
      </c>
      <c r="U468" s="56" t="s">
        <v>633</v>
      </c>
      <c r="V468" s="78">
        <v>42.0</v>
      </c>
      <c r="X468" s="11">
        <f>SUM(V467:V490)</f>
        <v>788</v>
      </c>
      <c r="Z468" s="88" t="str">
        <f t="shared" si="11"/>
        <v>PRE - K </v>
      </c>
      <c r="AA468" s="13">
        <f t="shared" si="12"/>
        <v>468</v>
      </c>
    </row>
    <row r="469">
      <c r="S469" s="78" t="s">
        <v>608</v>
      </c>
      <c r="T469" s="78" t="s">
        <v>631</v>
      </c>
      <c r="U469" s="56" t="s">
        <v>634</v>
      </c>
      <c r="V469" s="78">
        <v>45.0</v>
      </c>
      <c r="X469" s="94">
        <f>X468/60</f>
        <v>13.13333333</v>
      </c>
      <c r="Z469" s="88" t="str">
        <f t="shared" si="11"/>
        <v>PRE - K </v>
      </c>
      <c r="AA469" s="13">
        <f t="shared" si="12"/>
        <v>469</v>
      </c>
    </row>
    <row r="470">
      <c r="S470" s="78" t="s">
        <v>608</v>
      </c>
      <c r="T470" s="78" t="s">
        <v>631</v>
      </c>
      <c r="U470" s="56" t="s">
        <v>635</v>
      </c>
      <c r="V470" s="78">
        <v>14.0</v>
      </c>
      <c r="Z470" s="88" t="str">
        <f t="shared" si="11"/>
        <v>PRE - K </v>
      </c>
      <c r="AA470" s="13">
        <f t="shared" si="12"/>
        <v>470</v>
      </c>
    </row>
    <row r="471">
      <c r="S471" s="78" t="s">
        <v>608</v>
      </c>
      <c r="T471" s="78" t="s">
        <v>631</v>
      </c>
      <c r="U471" s="56" t="s">
        <v>636</v>
      </c>
      <c r="V471" s="78">
        <v>14.0</v>
      </c>
      <c r="Z471" s="88" t="str">
        <f t="shared" si="11"/>
        <v>PRE - K </v>
      </c>
      <c r="AA471" s="13">
        <f t="shared" si="12"/>
        <v>471</v>
      </c>
    </row>
    <row r="472">
      <c r="S472" s="78" t="s">
        <v>608</v>
      </c>
      <c r="T472" s="78" t="s">
        <v>631</v>
      </c>
      <c r="U472" s="56" t="s">
        <v>637</v>
      </c>
      <c r="V472" s="78">
        <v>30.0</v>
      </c>
      <c r="Z472" s="88" t="str">
        <f t="shared" si="11"/>
        <v>PRE - K </v>
      </c>
      <c r="AA472" s="13">
        <f t="shared" si="12"/>
        <v>472</v>
      </c>
    </row>
    <row r="473">
      <c r="S473" s="78" t="s">
        <v>608</v>
      </c>
      <c r="T473" s="78" t="s">
        <v>631</v>
      </c>
      <c r="U473" s="56" t="s">
        <v>638</v>
      </c>
      <c r="V473" s="78">
        <v>36.0</v>
      </c>
      <c r="Z473" s="88" t="str">
        <f t="shared" si="11"/>
        <v>PRE - K </v>
      </c>
      <c r="AA473" s="13">
        <f t="shared" si="12"/>
        <v>473</v>
      </c>
    </row>
    <row r="474">
      <c r="S474" s="78" t="s">
        <v>608</v>
      </c>
      <c r="T474" s="78" t="s">
        <v>631</v>
      </c>
      <c r="U474" s="56" t="s">
        <v>639</v>
      </c>
      <c r="V474" s="78">
        <v>39.0</v>
      </c>
      <c r="Z474" s="88" t="str">
        <f t="shared" si="11"/>
        <v>PRE - K </v>
      </c>
      <c r="AA474" s="13">
        <f t="shared" si="12"/>
        <v>474</v>
      </c>
    </row>
    <row r="475">
      <c r="S475" s="78" t="s">
        <v>608</v>
      </c>
      <c r="T475" s="78" t="s">
        <v>631</v>
      </c>
      <c r="U475" s="56" t="s">
        <v>640</v>
      </c>
      <c r="V475" s="78">
        <v>30.0</v>
      </c>
      <c r="Z475" s="88" t="str">
        <f t="shared" si="11"/>
        <v>PRE - K </v>
      </c>
      <c r="AA475" s="13">
        <f t="shared" si="12"/>
        <v>475</v>
      </c>
    </row>
    <row r="476">
      <c r="S476" s="78" t="s">
        <v>608</v>
      </c>
      <c r="T476" s="78" t="s">
        <v>631</v>
      </c>
      <c r="U476" s="56" t="s">
        <v>641</v>
      </c>
      <c r="V476" s="78">
        <v>10.0</v>
      </c>
      <c r="Z476" s="88" t="str">
        <f t="shared" si="11"/>
        <v>PRE - K </v>
      </c>
      <c r="AA476" s="13">
        <f t="shared" si="12"/>
        <v>476</v>
      </c>
    </row>
    <row r="477">
      <c r="S477" s="78" t="s">
        <v>608</v>
      </c>
      <c r="T477" s="78" t="s">
        <v>631</v>
      </c>
      <c r="U477" s="56" t="s">
        <v>642</v>
      </c>
      <c r="V477" s="78">
        <v>37.0</v>
      </c>
      <c r="Z477" s="88" t="str">
        <f t="shared" si="11"/>
        <v>PRE - K </v>
      </c>
      <c r="AA477" s="13">
        <f t="shared" si="12"/>
        <v>477</v>
      </c>
    </row>
    <row r="478">
      <c r="S478" s="78" t="s">
        <v>608</v>
      </c>
      <c r="T478" s="78" t="s">
        <v>631</v>
      </c>
      <c r="U478" s="56" t="s">
        <v>643</v>
      </c>
      <c r="V478" s="78">
        <v>24.0</v>
      </c>
      <c r="Z478" s="88" t="str">
        <f t="shared" si="11"/>
        <v>PRE - K </v>
      </c>
      <c r="AA478" s="13">
        <f t="shared" si="12"/>
        <v>478</v>
      </c>
    </row>
    <row r="479">
      <c r="S479" s="78" t="s">
        <v>608</v>
      </c>
      <c r="T479" s="78" t="s">
        <v>631</v>
      </c>
      <c r="U479" s="56" t="s">
        <v>644</v>
      </c>
      <c r="V479" s="78">
        <v>28.0</v>
      </c>
      <c r="Z479" s="88" t="str">
        <f t="shared" si="11"/>
        <v>PRE - K </v>
      </c>
      <c r="AA479" s="13">
        <f t="shared" si="12"/>
        <v>479</v>
      </c>
    </row>
    <row r="480">
      <c r="S480" s="78" t="s">
        <v>608</v>
      </c>
      <c r="T480" s="78" t="s">
        <v>631</v>
      </c>
      <c r="U480" s="56" t="s">
        <v>645</v>
      </c>
      <c r="V480" s="78">
        <v>42.0</v>
      </c>
      <c r="Z480" s="88" t="str">
        <f t="shared" si="11"/>
        <v>PRE - K </v>
      </c>
      <c r="AA480" s="13">
        <f t="shared" si="12"/>
        <v>480</v>
      </c>
    </row>
    <row r="481">
      <c r="S481" s="78" t="s">
        <v>608</v>
      </c>
      <c r="T481" s="78" t="s">
        <v>631</v>
      </c>
      <c r="U481" s="56" t="s">
        <v>646</v>
      </c>
      <c r="V481" s="78">
        <v>40.0</v>
      </c>
      <c r="Z481" s="88" t="str">
        <f t="shared" si="11"/>
        <v>PRE - K </v>
      </c>
      <c r="AA481" s="13">
        <f t="shared" si="12"/>
        <v>481</v>
      </c>
    </row>
    <row r="482">
      <c r="S482" s="78" t="s">
        <v>608</v>
      </c>
      <c r="T482" s="78" t="s">
        <v>631</v>
      </c>
      <c r="U482" s="56" t="s">
        <v>647</v>
      </c>
      <c r="V482" s="78">
        <v>38.0</v>
      </c>
      <c r="Z482" s="88" t="str">
        <f t="shared" si="11"/>
        <v>PRE - K </v>
      </c>
      <c r="AA482" s="13">
        <f t="shared" si="12"/>
        <v>482</v>
      </c>
    </row>
    <row r="483">
      <c r="S483" s="78" t="s">
        <v>608</v>
      </c>
      <c r="T483" s="78" t="s">
        <v>631</v>
      </c>
      <c r="U483" s="56" t="s">
        <v>648</v>
      </c>
      <c r="V483" s="78">
        <v>38.0</v>
      </c>
      <c r="Z483" s="88" t="str">
        <f t="shared" si="11"/>
        <v>PRE - K </v>
      </c>
      <c r="AA483" s="13">
        <f t="shared" si="12"/>
        <v>483</v>
      </c>
    </row>
    <row r="484">
      <c r="S484" s="78" t="s">
        <v>608</v>
      </c>
      <c r="T484" s="78" t="s">
        <v>631</v>
      </c>
      <c r="U484" s="56" t="s">
        <v>649</v>
      </c>
      <c r="V484" s="78">
        <v>30.0</v>
      </c>
      <c r="Z484" s="88" t="str">
        <f t="shared" si="11"/>
        <v>PRE - K </v>
      </c>
      <c r="AA484" s="13">
        <f t="shared" si="12"/>
        <v>484</v>
      </c>
    </row>
    <row r="485">
      <c r="S485" s="78" t="s">
        <v>608</v>
      </c>
      <c r="T485" s="78" t="s">
        <v>631</v>
      </c>
      <c r="U485" s="56" t="s">
        <v>650</v>
      </c>
      <c r="V485" s="78">
        <v>30.0</v>
      </c>
      <c r="Z485" s="88" t="str">
        <f t="shared" si="11"/>
        <v>PRE - K </v>
      </c>
      <c r="AA485" s="13">
        <f t="shared" si="12"/>
        <v>485</v>
      </c>
    </row>
    <row r="486">
      <c r="S486" s="78" t="s">
        <v>608</v>
      </c>
      <c r="T486" s="78" t="s">
        <v>631</v>
      </c>
      <c r="U486" s="56" t="s">
        <v>651</v>
      </c>
      <c r="V486" s="78">
        <v>30.0</v>
      </c>
      <c r="Z486" s="88" t="str">
        <f t="shared" si="11"/>
        <v>PRE - K </v>
      </c>
      <c r="AA486" s="13">
        <f t="shared" si="12"/>
        <v>486</v>
      </c>
    </row>
    <row r="487">
      <c r="S487" s="78" t="s">
        <v>608</v>
      </c>
      <c r="T487" s="78" t="s">
        <v>631</v>
      </c>
      <c r="U487" s="56" t="s">
        <v>652</v>
      </c>
      <c r="V487" s="78">
        <v>38.0</v>
      </c>
      <c r="Z487" s="88" t="str">
        <f t="shared" si="11"/>
        <v>PRE - K </v>
      </c>
      <c r="AA487" s="13">
        <f t="shared" si="12"/>
        <v>487</v>
      </c>
    </row>
    <row r="488">
      <c r="S488" s="78" t="s">
        <v>608</v>
      </c>
      <c r="T488" s="78" t="s">
        <v>631</v>
      </c>
      <c r="U488" s="56" t="s">
        <v>653</v>
      </c>
      <c r="V488" s="78">
        <v>38.0</v>
      </c>
      <c r="Z488" s="88" t="str">
        <f t="shared" si="11"/>
        <v>PRE - K </v>
      </c>
      <c r="AA488" s="13">
        <f t="shared" si="12"/>
        <v>488</v>
      </c>
    </row>
    <row r="489">
      <c r="S489" s="78" t="s">
        <v>608</v>
      </c>
      <c r="T489" s="78" t="s">
        <v>631</v>
      </c>
      <c r="U489" s="56" t="s">
        <v>654</v>
      </c>
      <c r="V489" s="78">
        <v>26.0</v>
      </c>
      <c r="Z489" s="88" t="str">
        <f t="shared" si="11"/>
        <v>PRE - K </v>
      </c>
      <c r="AA489" s="13">
        <f t="shared" si="12"/>
        <v>489</v>
      </c>
    </row>
    <row r="490">
      <c r="S490" s="78" t="s">
        <v>608</v>
      </c>
      <c r="T490" s="78" t="s">
        <v>631</v>
      </c>
      <c r="U490" s="56" t="s">
        <v>655</v>
      </c>
      <c r="V490" s="78">
        <v>45.0</v>
      </c>
      <c r="Z490" s="88" t="str">
        <f t="shared" si="11"/>
        <v>PRE - K </v>
      </c>
      <c r="AA490" s="13">
        <f t="shared" si="12"/>
        <v>490</v>
      </c>
    </row>
    <row r="491">
      <c r="S491" s="78" t="s">
        <v>608</v>
      </c>
      <c r="T491" s="11"/>
      <c r="V491" s="11"/>
      <c r="Z491" s="88" t="str">
        <f t="shared" si="11"/>
        <v> - </v>
      </c>
      <c r="AA491" s="13">
        <f t="shared" si="12"/>
        <v>491</v>
      </c>
    </row>
    <row r="492">
      <c r="S492" s="78" t="s">
        <v>608</v>
      </c>
      <c r="T492" s="11"/>
      <c r="V492" s="11"/>
      <c r="Z492" s="88" t="str">
        <f t="shared" si="11"/>
        <v> - </v>
      </c>
      <c r="AA492" s="13">
        <f t="shared" si="12"/>
        <v>492</v>
      </c>
    </row>
    <row r="493">
      <c r="S493" s="78" t="s">
        <v>608</v>
      </c>
      <c r="T493" s="11"/>
      <c r="V493" s="11"/>
      <c r="Z493" s="88" t="str">
        <f t="shared" si="11"/>
        <v> - </v>
      </c>
      <c r="AA493" s="13">
        <f t="shared" si="12"/>
        <v>493</v>
      </c>
    </row>
    <row r="494">
      <c r="S494" s="78" t="s">
        <v>608</v>
      </c>
      <c r="T494" s="11"/>
      <c r="V494" s="11"/>
      <c r="Z494" s="88" t="str">
        <f t="shared" si="11"/>
        <v> - </v>
      </c>
      <c r="AA494" s="13">
        <f t="shared" si="12"/>
        <v>494</v>
      </c>
    </row>
    <row r="495">
      <c r="S495" s="78" t="s">
        <v>608</v>
      </c>
      <c r="T495" s="11"/>
      <c r="V495" s="11"/>
      <c r="Z495" s="88" t="str">
        <f t="shared" si="11"/>
        <v> - </v>
      </c>
      <c r="AA495" s="13">
        <f t="shared" si="12"/>
        <v>495</v>
      </c>
    </row>
    <row r="496">
      <c r="S496" s="78" t="s">
        <v>608</v>
      </c>
      <c r="T496" s="78" t="s">
        <v>656</v>
      </c>
      <c r="U496" s="56" t="s">
        <v>657</v>
      </c>
      <c r="V496" s="78">
        <v>60.0</v>
      </c>
      <c r="X496" s="78" t="s">
        <v>130</v>
      </c>
      <c r="Z496" s="13"/>
      <c r="AA496" s="13"/>
    </row>
    <row r="497">
      <c r="S497" s="78" t="s">
        <v>608</v>
      </c>
      <c r="T497" s="78" t="s">
        <v>656</v>
      </c>
      <c r="U497" s="56" t="s">
        <v>658</v>
      </c>
      <c r="V497" s="78">
        <v>23.0</v>
      </c>
      <c r="X497" s="11">
        <f>SUM(V496:V540)</f>
        <v>2052</v>
      </c>
      <c r="Z497" s="13"/>
      <c r="AA497" s="13"/>
    </row>
    <row r="498">
      <c r="S498" s="78" t="s">
        <v>608</v>
      </c>
      <c r="T498" s="78" t="s">
        <v>656</v>
      </c>
      <c r="U498" s="56" t="s">
        <v>659</v>
      </c>
      <c r="V498" s="78">
        <v>43.0</v>
      </c>
      <c r="X498" s="94">
        <f>X497/60</f>
        <v>34.2</v>
      </c>
      <c r="Z498" s="13"/>
      <c r="AA498" s="13"/>
    </row>
    <row r="499">
      <c r="S499" s="78" t="s">
        <v>608</v>
      </c>
      <c r="T499" s="78" t="s">
        <v>656</v>
      </c>
      <c r="U499" s="56" t="s">
        <v>660</v>
      </c>
      <c r="V499" s="78">
        <v>25.0</v>
      </c>
      <c r="Z499" s="13"/>
      <c r="AA499" s="13"/>
    </row>
    <row r="500">
      <c r="S500" s="78" t="s">
        <v>608</v>
      </c>
      <c r="T500" s="78" t="s">
        <v>656</v>
      </c>
      <c r="U500" s="56" t="s">
        <v>661</v>
      </c>
      <c r="V500" s="78">
        <v>30.0</v>
      </c>
      <c r="Z500" s="13"/>
      <c r="AA500" s="13"/>
    </row>
    <row r="501">
      <c r="S501" s="78" t="s">
        <v>608</v>
      </c>
      <c r="T501" s="78" t="s">
        <v>656</v>
      </c>
      <c r="U501" s="56" t="s">
        <v>662</v>
      </c>
      <c r="V501" s="78">
        <v>14.0</v>
      </c>
      <c r="Z501" s="13"/>
      <c r="AA501" s="13"/>
    </row>
    <row r="502">
      <c r="S502" s="78" t="s">
        <v>608</v>
      </c>
      <c r="T502" s="78" t="s">
        <v>656</v>
      </c>
      <c r="U502" s="56" t="s">
        <v>663</v>
      </c>
      <c r="V502" s="78">
        <v>11.0</v>
      </c>
      <c r="Z502" s="13"/>
      <c r="AA502" s="13"/>
    </row>
    <row r="503">
      <c r="S503" s="78" t="s">
        <v>608</v>
      </c>
      <c r="T503" s="78" t="s">
        <v>656</v>
      </c>
      <c r="U503" s="56" t="s">
        <v>664</v>
      </c>
      <c r="V503" s="78">
        <v>60.0</v>
      </c>
      <c r="Z503" s="13"/>
      <c r="AA503" s="13"/>
    </row>
    <row r="504">
      <c r="S504" s="78" t="s">
        <v>608</v>
      </c>
      <c r="T504" s="78" t="s">
        <v>656</v>
      </c>
      <c r="U504" s="56" t="s">
        <v>665</v>
      </c>
      <c r="V504" s="78">
        <v>120.0</v>
      </c>
      <c r="Z504" s="13"/>
      <c r="AA504" s="13"/>
    </row>
    <row r="505">
      <c r="S505" s="78" t="s">
        <v>608</v>
      </c>
      <c r="T505" s="78" t="s">
        <v>656</v>
      </c>
      <c r="U505" s="56" t="s">
        <v>666</v>
      </c>
      <c r="V505" s="78">
        <v>51.0</v>
      </c>
      <c r="Z505" s="13"/>
      <c r="AA505" s="13"/>
    </row>
    <row r="506">
      <c r="S506" s="78" t="s">
        <v>608</v>
      </c>
      <c r="T506" s="78" t="s">
        <v>656</v>
      </c>
      <c r="U506" s="56" t="s">
        <v>667</v>
      </c>
      <c r="V506" s="78">
        <v>42.0</v>
      </c>
      <c r="Z506" s="13"/>
      <c r="AA506" s="13"/>
    </row>
    <row r="507">
      <c r="S507" s="78" t="s">
        <v>608</v>
      </c>
      <c r="T507" s="78" t="s">
        <v>656</v>
      </c>
      <c r="U507" s="56" t="s">
        <v>668</v>
      </c>
      <c r="V507" s="78">
        <v>34.0</v>
      </c>
      <c r="Z507" s="13"/>
      <c r="AA507" s="13"/>
    </row>
    <row r="508">
      <c r="S508" s="78" t="s">
        <v>608</v>
      </c>
      <c r="T508" s="78" t="s">
        <v>656</v>
      </c>
      <c r="U508" s="56" t="s">
        <v>669</v>
      </c>
      <c r="V508" s="78">
        <v>48.0</v>
      </c>
      <c r="Z508" s="13"/>
      <c r="AA508" s="13"/>
    </row>
    <row r="509">
      <c r="S509" s="78" t="s">
        <v>608</v>
      </c>
      <c r="T509" s="78" t="s">
        <v>656</v>
      </c>
      <c r="U509" s="56" t="s">
        <v>670</v>
      </c>
      <c r="V509" s="78">
        <v>62.0</v>
      </c>
      <c r="Z509" s="13"/>
      <c r="AA509" s="13"/>
    </row>
    <row r="510">
      <c r="S510" s="78" t="s">
        <v>608</v>
      </c>
      <c r="T510" s="78" t="s">
        <v>656</v>
      </c>
      <c r="U510" s="56" t="s">
        <v>671</v>
      </c>
      <c r="V510" s="78">
        <v>61.0</v>
      </c>
      <c r="Z510" s="13"/>
      <c r="AA510" s="13"/>
    </row>
    <row r="511">
      <c r="S511" s="78" t="s">
        <v>608</v>
      </c>
      <c r="T511" s="78" t="s">
        <v>656</v>
      </c>
      <c r="U511" s="56" t="s">
        <v>672</v>
      </c>
      <c r="V511" s="78">
        <v>71.0</v>
      </c>
      <c r="Z511" s="13"/>
      <c r="AA511" s="13"/>
    </row>
    <row r="512">
      <c r="S512" s="78" t="s">
        <v>608</v>
      </c>
      <c r="T512" s="78" t="s">
        <v>656</v>
      </c>
      <c r="U512" s="56" t="s">
        <v>673</v>
      </c>
      <c r="V512" s="78">
        <v>64.0</v>
      </c>
      <c r="Z512" s="13"/>
      <c r="AA512" s="13"/>
    </row>
    <row r="513">
      <c r="S513" s="78" t="s">
        <v>608</v>
      </c>
      <c r="T513" s="78" t="s">
        <v>656</v>
      </c>
      <c r="U513" s="56" t="s">
        <v>674</v>
      </c>
      <c r="V513" s="78">
        <v>64.0</v>
      </c>
      <c r="Z513" s="13"/>
      <c r="AA513" s="13"/>
    </row>
    <row r="514">
      <c r="S514" s="78" t="s">
        <v>608</v>
      </c>
      <c r="T514" s="78" t="s">
        <v>656</v>
      </c>
      <c r="U514" s="56" t="s">
        <v>675</v>
      </c>
      <c r="V514" s="78">
        <v>66.0</v>
      </c>
      <c r="Z514" s="13"/>
      <c r="AA514" s="13"/>
    </row>
    <row r="515">
      <c r="S515" s="78" t="s">
        <v>608</v>
      </c>
      <c r="T515" s="78" t="s">
        <v>656</v>
      </c>
      <c r="U515" s="56" t="s">
        <v>676</v>
      </c>
      <c r="V515" s="78">
        <v>120.0</v>
      </c>
      <c r="Z515" s="13"/>
      <c r="AA515" s="13"/>
    </row>
    <row r="516">
      <c r="S516" s="78" t="s">
        <v>608</v>
      </c>
      <c r="T516" s="78" t="s">
        <v>656</v>
      </c>
      <c r="U516" s="56" t="s">
        <v>677</v>
      </c>
      <c r="V516" s="78">
        <v>58.0</v>
      </c>
      <c r="Z516" s="13"/>
      <c r="AA516" s="13"/>
    </row>
    <row r="517">
      <c r="S517" s="78" t="s">
        <v>608</v>
      </c>
      <c r="T517" s="78" t="s">
        <v>656</v>
      </c>
      <c r="U517" s="56" t="s">
        <v>678</v>
      </c>
      <c r="V517" s="78">
        <v>71.0</v>
      </c>
      <c r="Z517" s="13"/>
      <c r="AA517" s="13"/>
    </row>
    <row r="518">
      <c r="S518" s="78" t="s">
        <v>608</v>
      </c>
      <c r="T518" s="78" t="s">
        <v>656</v>
      </c>
      <c r="U518" s="56" t="s">
        <v>679</v>
      </c>
      <c r="V518" s="78">
        <v>52.0</v>
      </c>
      <c r="Z518" s="13"/>
      <c r="AA518" s="13"/>
    </row>
    <row r="519">
      <c r="S519" s="78" t="s">
        <v>608</v>
      </c>
      <c r="T519" s="78" t="s">
        <v>656</v>
      </c>
      <c r="U519" s="56" t="s">
        <v>680</v>
      </c>
      <c r="V519" s="78">
        <v>41.0</v>
      </c>
      <c r="Z519" s="13"/>
      <c r="AA519" s="13"/>
    </row>
    <row r="520">
      <c r="S520" s="78" t="s">
        <v>608</v>
      </c>
      <c r="T520" s="11"/>
      <c r="V520" s="11"/>
      <c r="Z520" s="13"/>
      <c r="AA520" s="13"/>
    </row>
    <row r="521">
      <c r="S521" s="78" t="s">
        <v>608</v>
      </c>
      <c r="T521" s="78" t="s">
        <v>656</v>
      </c>
      <c r="U521" s="56" t="s">
        <v>681</v>
      </c>
      <c r="V521" s="78">
        <v>43.0</v>
      </c>
      <c r="Z521" s="13"/>
      <c r="AA521" s="13"/>
    </row>
    <row r="522">
      <c r="S522" s="78" t="s">
        <v>608</v>
      </c>
      <c r="T522" s="78" t="s">
        <v>656</v>
      </c>
      <c r="U522" s="56" t="s">
        <v>682</v>
      </c>
      <c r="V522" s="78">
        <v>46.0</v>
      </c>
      <c r="Z522" s="13"/>
      <c r="AA522" s="13"/>
    </row>
    <row r="523">
      <c r="S523" s="78" t="s">
        <v>608</v>
      </c>
      <c r="T523" s="78" t="s">
        <v>656</v>
      </c>
      <c r="U523" s="56" t="s">
        <v>683</v>
      </c>
      <c r="V523" s="78">
        <v>42.0</v>
      </c>
      <c r="Z523" s="13"/>
      <c r="AA523" s="13"/>
    </row>
    <row r="524">
      <c r="S524" s="78" t="s">
        <v>608</v>
      </c>
      <c r="T524" s="78" t="s">
        <v>656</v>
      </c>
      <c r="U524" s="56" t="s">
        <v>684</v>
      </c>
      <c r="V524" s="78">
        <v>48.0</v>
      </c>
      <c r="Z524" s="13"/>
      <c r="AA524" s="13"/>
    </row>
    <row r="525">
      <c r="S525" s="78" t="s">
        <v>608</v>
      </c>
      <c r="T525" s="78" t="s">
        <v>656</v>
      </c>
      <c r="U525" s="56" t="s">
        <v>685</v>
      </c>
      <c r="V525" s="78">
        <v>58.0</v>
      </c>
      <c r="Z525" s="13"/>
      <c r="AA525" s="13"/>
    </row>
    <row r="526">
      <c r="S526" s="78" t="s">
        <v>608</v>
      </c>
      <c r="T526" s="78" t="s">
        <v>656</v>
      </c>
      <c r="U526" s="56" t="s">
        <v>686</v>
      </c>
      <c r="V526" s="78">
        <v>31.0</v>
      </c>
      <c r="Z526" s="13"/>
      <c r="AA526" s="13"/>
    </row>
    <row r="527">
      <c r="S527" s="78" t="s">
        <v>608</v>
      </c>
      <c r="T527" s="78" t="s">
        <v>656</v>
      </c>
      <c r="U527" s="56" t="s">
        <v>687</v>
      </c>
      <c r="V527" s="78">
        <v>60.0</v>
      </c>
      <c r="Z527" s="13"/>
      <c r="AA527" s="13"/>
    </row>
    <row r="528">
      <c r="S528" s="78" t="s">
        <v>608</v>
      </c>
      <c r="T528" s="78" t="s">
        <v>656</v>
      </c>
      <c r="U528" s="56" t="s">
        <v>688</v>
      </c>
      <c r="V528" s="78">
        <v>43.0</v>
      </c>
    </row>
    <row r="529">
      <c r="S529" s="78" t="s">
        <v>608</v>
      </c>
      <c r="T529" s="78" t="s">
        <v>656</v>
      </c>
      <c r="U529" s="56" t="s">
        <v>689</v>
      </c>
      <c r="V529" s="78">
        <v>32.0</v>
      </c>
    </row>
    <row r="530">
      <c r="S530" s="78" t="s">
        <v>608</v>
      </c>
      <c r="T530" s="78" t="s">
        <v>656</v>
      </c>
      <c r="U530" s="56" t="s">
        <v>690</v>
      </c>
      <c r="V530" s="78">
        <v>23.0</v>
      </c>
    </row>
    <row r="531">
      <c r="S531" s="78" t="s">
        <v>608</v>
      </c>
      <c r="T531" s="78" t="s">
        <v>656</v>
      </c>
      <c r="U531" s="56" t="s">
        <v>691</v>
      </c>
      <c r="V531" s="78">
        <v>48.0</v>
      </c>
    </row>
    <row r="532">
      <c r="S532" s="78" t="s">
        <v>608</v>
      </c>
      <c r="T532" s="78" t="s">
        <v>656</v>
      </c>
      <c r="U532" s="56" t="s">
        <v>692</v>
      </c>
      <c r="V532" s="78">
        <v>39.0</v>
      </c>
    </row>
    <row r="533">
      <c r="S533" s="78" t="s">
        <v>608</v>
      </c>
      <c r="T533" s="11"/>
      <c r="V533" s="11"/>
    </row>
    <row r="534">
      <c r="S534" s="78" t="s">
        <v>608</v>
      </c>
      <c r="T534" s="78" t="s">
        <v>656</v>
      </c>
      <c r="U534" s="56" t="s">
        <v>693</v>
      </c>
      <c r="V534" s="78">
        <v>32.0</v>
      </c>
    </row>
    <row r="535">
      <c r="S535" s="78" t="s">
        <v>608</v>
      </c>
      <c r="T535" s="78" t="s">
        <v>656</v>
      </c>
      <c r="U535" s="56" t="s">
        <v>694</v>
      </c>
      <c r="V535" s="78">
        <v>26.0</v>
      </c>
    </row>
    <row r="536">
      <c r="S536" s="78" t="s">
        <v>608</v>
      </c>
      <c r="T536" s="78" t="s">
        <v>656</v>
      </c>
      <c r="U536" s="56" t="s">
        <v>695</v>
      </c>
      <c r="V536" s="78">
        <v>52.0</v>
      </c>
    </row>
    <row r="537">
      <c r="S537" s="78" t="s">
        <v>608</v>
      </c>
      <c r="T537" s="78" t="s">
        <v>656</v>
      </c>
      <c r="U537" s="56" t="s">
        <v>696</v>
      </c>
      <c r="V537" s="78">
        <v>40.0</v>
      </c>
    </row>
    <row r="538">
      <c r="S538" s="78" t="s">
        <v>608</v>
      </c>
      <c r="T538" s="78" t="s">
        <v>656</v>
      </c>
      <c r="U538" s="56" t="s">
        <v>697</v>
      </c>
      <c r="V538" s="78">
        <v>40.0</v>
      </c>
    </row>
    <row r="539">
      <c r="S539" s="78" t="s">
        <v>608</v>
      </c>
      <c r="T539" s="78" t="s">
        <v>656</v>
      </c>
      <c r="U539" s="56" t="s">
        <v>698</v>
      </c>
      <c r="V539" s="78">
        <v>58.0</v>
      </c>
    </row>
    <row r="540">
      <c r="S540" s="78" t="s">
        <v>608</v>
      </c>
      <c r="T540" s="78" t="s">
        <v>656</v>
      </c>
      <c r="U540" s="56" t="s">
        <v>699</v>
      </c>
      <c r="V540" s="11"/>
    </row>
    <row r="541">
      <c r="S541" s="78" t="s">
        <v>608</v>
      </c>
      <c r="T541" s="11"/>
      <c r="V541" s="11"/>
    </row>
    <row r="542">
      <c r="S542" s="78" t="s">
        <v>608</v>
      </c>
      <c r="T542" s="11"/>
      <c r="V542" s="11"/>
    </row>
    <row r="543">
      <c r="S543" s="78" t="s">
        <v>608</v>
      </c>
      <c r="T543" s="11"/>
      <c r="V543" s="11"/>
    </row>
    <row r="544">
      <c r="S544" s="78" t="s">
        <v>608</v>
      </c>
      <c r="T544" s="11"/>
      <c r="V544" s="11"/>
    </row>
    <row r="545">
      <c r="S545" s="78" t="s">
        <v>608</v>
      </c>
      <c r="T545" s="11"/>
      <c r="V545" s="11"/>
    </row>
    <row r="546">
      <c r="S546" s="78" t="s">
        <v>608</v>
      </c>
      <c r="T546" s="11"/>
      <c r="V546" s="11"/>
    </row>
    <row r="547">
      <c r="S547" s="78" t="s">
        <v>608</v>
      </c>
      <c r="T547" s="11"/>
      <c r="V547" s="11"/>
    </row>
    <row r="548">
      <c r="S548" s="78" t="s">
        <v>608</v>
      </c>
      <c r="T548" s="78" t="s">
        <v>700</v>
      </c>
      <c r="U548" s="56" t="s">
        <v>701</v>
      </c>
      <c r="V548" s="78">
        <v>37.0</v>
      </c>
      <c r="X548" s="78" t="s">
        <v>130</v>
      </c>
    </row>
    <row r="549">
      <c r="S549" s="78" t="s">
        <v>608</v>
      </c>
      <c r="T549" s="78" t="s">
        <v>700</v>
      </c>
      <c r="U549" s="56" t="s">
        <v>702</v>
      </c>
      <c r="V549" s="78">
        <v>36.0</v>
      </c>
      <c r="X549" s="11">
        <f>SUM(V548:V587)</f>
        <v>1082</v>
      </c>
    </row>
    <row r="550">
      <c r="S550" s="78" t="s">
        <v>608</v>
      </c>
      <c r="T550" s="78" t="s">
        <v>700</v>
      </c>
      <c r="U550" s="56" t="s">
        <v>703</v>
      </c>
      <c r="V550" s="78">
        <v>37.0</v>
      </c>
      <c r="X550" s="94">
        <f>X549/60</f>
        <v>18.03333333</v>
      </c>
    </row>
    <row r="551">
      <c r="S551" s="78" t="s">
        <v>608</v>
      </c>
      <c r="T551" s="78" t="s">
        <v>700</v>
      </c>
      <c r="U551" s="56" t="s">
        <v>704</v>
      </c>
      <c r="V551" s="78">
        <v>42.0</v>
      </c>
    </row>
    <row r="552">
      <c r="S552" s="78" t="s">
        <v>608</v>
      </c>
      <c r="T552" s="78" t="s">
        <v>700</v>
      </c>
      <c r="U552" s="56" t="s">
        <v>705</v>
      </c>
      <c r="V552" s="78">
        <v>36.0</v>
      </c>
    </row>
    <row r="553">
      <c r="S553" s="78" t="s">
        <v>608</v>
      </c>
      <c r="T553" s="78" t="s">
        <v>700</v>
      </c>
      <c r="U553" s="56" t="s">
        <v>706</v>
      </c>
      <c r="V553" s="78">
        <v>28.0</v>
      </c>
    </row>
    <row r="554">
      <c r="S554" s="78" t="s">
        <v>608</v>
      </c>
      <c r="T554" s="78" t="s">
        <v>700</v>
      </c>
      <c r="U554" s="56" t="s">
        <v>707</v>
      </c>
      <c r="V554" s="78">
        <v>24.0</v>
      </c>
    </row>
    <row r="555">
      <c r="S555" s="78" t="s">
        <v>608</v>
      </c>
      <c r="T555" s="11"/>
      <c r="V555" s="11"/>
    </row>
    <row r="556">
      <c r="S556" s="78" t="s">
        <v>608</v>
      </c>
      <c r="T556" s="78" t="s">
        <v>700</v>
      </c>
      <c r="U556" s="56" t="s">
        <v>708</v>
      </c>
      <c r="V556" s="78">
        <v>26.0</v>
      </c>
    </row>
    <row r="557">
      <c r="S557" s="78" t="s">
        <v>608</v>
      </c>
      <c r="T557" s="78" t="s">
        <v>700</v>
      </c>
      <c r="U557" s="56" t="s">
        <v>709</v>
      </c>
      <c r="V557" s="78">
        <v>27.0</v>
      </c>
    </row>
    <row r="558">
      <c r="S558" s="78" t="s">
        <v>608</v>
      </c>
      <c r="T558" s="78" t="s">
        <v>700</v>
      </c>
      <c r="U558" s="56" t="s">
        <v>710</v>
      </c>
      <c r="V558" s="78">
        <v>50.0</v>
      </c>
    </row>
    <row r="559">
      <c r="S559" s="78" t="s">
        <v>608</v>
      </c>
      <c r="T559" s="11"/>
      <c r="V559" s="11"/>
    </row>
    <row r="560">
      <c r="S560" s="78" t="s">
        <v>608</v>
      </c>
      <c r="T560" s="78" t="s">
        <v>700</v>
      </c>
      <c r="U560" s="56" t="s">
        <v>711</v>
      </c>
      <c r="V560" s="78">
        <v>28.0</v>
      </c>
    </row>
    <row r="561">
      <c r="S561" s="78" t="s">
        <v>608</v>
      </c>
      <c r="T561" s="78" t="s">
        <v>700</v>
      </c>
      <c r="U561" s="56" t="s">
        <v>712</v>
      </c>
      <c r="V561" s="78">
        <v>36.0</v>
      </c>
    </row>
    <row r="562">
      <c r="S562" s="78" t="s">
        <v>608</v>
      </c>
      <c r="T562" s="78" t="s">
        <v>700</v>
      </c>
      <c r="U562" s="56" t="s">
        <v>713</v>
      </c>
      <c r="V562" s="78">
        <v>40.0</v>
      </c>
    </row>
    <row r="563">
      <c r="S563" s="78" t="s">
        <v>608</v>
      </c>
      <c r="T563" s="78" t="s">
        <v>700</v>
      </c>
      <c r="U563" s="56" t="s">
        <v>714</v>
      </c>
      <c r="V563" s="78">
        <v>48.0</v>
      </c>
    </row>
    <row r="564">
      <c r="S564" s="78" t="s">
        <v>608</v>
      </c>
      <c r="T564" s="78" t="s">
        <v>700</v>
      </c>
      <c r="U564" s="56" t="s">
        <v>715</v>
      </c>
      <c r="V564" s="78">
        <v>60.0</v>
      </c>
    </row>
    <row r="565">
      <c r="S565" s="78" t="s">
        <v>608</v>
      </c>
      <c r="T565" s="78" t="s">
        <v>700</v>
      </c>
      <c r="U565" s="56" t="s">
        <v>716</v>
      </c>
      <c r="V565" s="78">
        <v>23.0</v>
      </c>
    </row>
    <row r="566">
      <c r="S566" s="78" t="s">
        <v>608</v>
      </c>
      <c r="T566" s="78" t="s">
        <v>700</v>
      </c>
      <c r="U566" s="56" t="s">
        <v>717</v>
      </c>
      <c r="V566" s="78">
        <v>30.0</v>
      </c>
    </row>
    <row r="567">
      <c r="S567" s="78" t="s">
        <v>608</v>
      </c>
      <c r="T567" s="78" t="s">
        <v>700</v>
      </c>
      <c r="U567" s="56" t="s">
        <v>718</v>
      </c>
      <c r="V567" s="78">
        <v>57.0</v>
      </c>
    </row>
    <row r="568">
      <c r="S568" s="78" t="s">
        <v>608</v>
      </c>
      <c r="T568" s="11"/>
      <c r="V568" s="11"/>
    </row>
    <row r="569">
      <c r="S569" s="78" t="s">
        <v>608</v>
      </c>
      <c r="T569" s="78" t="s">
        <v>700</v>
      </c>
      <c r="U569" s="56" t="s">
        <v>719</v>
      </c>
      <c r="V569" s="78">
        <v>9.0</v>
      </c>
    </row>
    <row r="570">
      <c r="S570" s="78" t="s">
        <v>608</v>
      </c>
      <c r="T570" s="78" t="s">
        <v>700</v>
      </c>
      <c r="U570" s="56" t="s">
        <v>720</v>
      </c>
      <c r="V570" s="78">
        <v>13.0</v>
      </c>
    </row>
    <row r="571">
      <c r="S571" s="78" t="s">
        <v>608</v>
      </c>
      <c r="T571" s="78" t="s">
        <v>700</v>
      </c>
      <c r="U571" s="56" t="s">
        <v>721</v>
      </c>
      <c r="V571" s="78">
        <v>13.0</v>
      </c>
    </row>
    <row r="572">
      <c r="S572" s="78" t="s">
        <v>608</v>
      </c>
      <c r="T572" s="78" t="s">
        <v>700</v>
      </c>
      <c r="U572" s="56" t="s">
        <v>722</v>
      </c>
      <c r="V572" s="78">
        <v>16.0</v>
      </c>
    </row>
    <row r="573">
      <c r="S573" s="78" t="s">
        <v>608</v>
      </c>
      <c r="T573" s="78" t="s">
        <v>700</v>
      </c>
      <c r="U573" s="56" t="s">
        <v>723</v>
      </c>
      <c r="V573" s="78">
        <v>16.0</v>
      </c>
    </row>
    <row r="574">
      <c r="S574" s="78" t="s">
        <v>608</v>
      </c>
      <c r="T574" s="78" t="s">
        <v>700</v>
      </c>
      <c r="U574" s="56" t="s">
        <v>724</v>
      </c>
      <c r="V574" s="78">
        <v>20.0</v>
      </c>
    </row>
    <row r="575">
      <c r="S575" s="78" t="s">
        <v>608</v>
      </c>
      <c r="T575" s="78" t="s">
        <v>700</v>
      </c>
      <c r="U575" s="56" t="s">
        <v>725</v>
      </c>
      <c r="V575" s="78">
        <v>10.0</v>
      </c>
    </row>
    <row r="576">
      <c r="S576" s="78" t="s">
        <v>608</v>
      </c>
      <c r="T576" s="78" t="s">
        <v>700</v>
      </c>
      <c r="U576" s="56" t="s">
        <v>726</v>
      </c>
      <c r="V576" s="78">
        <v>10.0</v>
      </c>
    </row>
    <row r="577">
      <c r="S577" s="78" t="s">
        <v>608</v>
      </c>
      <c r="T577" s="78" t="s">
        <v>700</v>
      </c>
      <c r="U577" s="56" t="s">
        <v>727</v>
      </c>
      <c r="V577" s="78">
        <v>8.0</v>
      </c>
    </row>
    <row r="578">
      <c r="S578" s="78" t="s">
        <v>608</v>
      </c>
      <c r="T578" s="78" t="s">
        <v>700</v>
      </c>
      <c r="U578" s="56" t="s">
        <v>728</v>
      </c>
      <c r="V578" s="78">
        <v>10.0</v>
      </c>
    </row>
    <row r="579">
      <c r="S579" s="78" t="s">
        <v>608</v>
      </c>
      <c r="T579" s="78" t="s">
        <v>700</v>
      </c>
      <c r="U579" s="56" t="s">
        <v>729</v>
      </c>
      <c r="V579" s="78">
        <v>9.0</v>
      </c>
    </row>
    <row r="580">
      <c r="S580" s="78" t="s">
        <v>608</v>
      </c>
      <c r="T580" s="78" t="s">
        <v>700</v>
      </c>
      <c r="U580" s="56" t="s">
        <v>730</v>
      </c>
      <c r="V580" s="78">
        <v>11.0</v>
      </c>
    </row>
    <row r="581">
      <c r="S581" s="78" t="s">
        <v>608</v>
      </c>
      <c r="T581" s="78" t="s">
        <v>700</v>
      </c>
      <c r="U581" s="56" t="s">
        <v>731</v>
      </c>
      <c r="V581" s="78">
        <v>12.0</v>
      </c>
    </row>
    <row r="582">
      <c r="S582" s="78" t="s">
        <v>608</v>
      </c>
      <c r="T582" s="78" t="s">
        <v>700</v>
      </c>
      <c r="U582" s="56" t="s">
        <v>732</v>
      </c>
      <c r="V582" s="78">
        <v>60.0</v>
      </c>
    </row>
    <row r="583">
      <c r="S583" s="78" t="s">
        <v>608</v>
      </c>
      <c r="T583" s="78" t="s">
        <v>700</v>
      </c>
      <c r="U583" s="56" t="s">
        <v>733</v>
      </c>
      <c r="V583" s="78">
        <v>52.0</v>
      </c>
    </row>
    <row r="584">
      <c r="S584" s="78" t="s">
        <v>608</v>
      </c>
      <c r="T584" s="78" t="s">
        <v>700</v>
      </c>
      <c r="U584" s="56" t="s">
        <v>734</v>
      </c>
      <c r="V584" s="78">
        <v>52.0</v>
      </c>
    </row>
    <row r="585">
      <c r="S585" s="78" t="s">
        <v>608</v>
      </c>
      <c r="T585" s="78" t="s">
        <v>700</v>
      </c>
      <c r="U585" s="56" t="s">
        <v>735</v>
      </c>
      <c r="V585" s="78">
        <v>52.0</v>
      </c>
    </row>
    <row r="586">
      <c r="S586" s="78" t="s">
        <v>608</v>
      </c>
      <c r="T586" s="78" t="s">
        <v>700</v>
      </c>
      <c r="U586" s="56" t="s">
        <v>736</v>
      </c>
      <c r="V586" s="78">
        <v>40.0</v>
      </c>
    </row>
    <row r="587">
      <c r="S587" s="78" t="s">
        <v>608</v>
      </c>
      <c r="T587" s="78" t="s">
        <v>700</v>
      </c>
      <c r="U587" s="56" t="s">
        <v>737</v>
      </c>
      <c r="V587" s="78">
        <v>4.0</v>
      </c>
    </row>
    <row r="588">
      <c r="S588" s="78" t="s">
        <v>608</v>
      </c>
      <c r="T588" s="78" t="s">
        <v>738</v>
      </c>
      <c r="U588" s="56" t="s">
        <v>739</v>
      </c>
      <c r="V588" s="78">
        <v>90.0</v>
      </c>
      <c r="X588" s="78" t="s">
        <v>130</v>
      </c>
    </row>
    <row r="589">
      <c r="S589" s="78" t="s">
        <v>608</v>
      </c>
      <c r="T589" s="78" t="s">
        <v>738</v>
      </c>
      <c r="U589" s="56" t="s">
        <v>740</v>
      </c>
      <c r="V589" s="78">
        <v>50.0</v>
      </c>
      <c r="X589" s="11">
        <f>SUM(V588:V594)</f>
        <v>389</v>
      </c>
    </row>
    <row r="590">
      <c r="S590" s="78" t="s">
        <v>608</v>
      </c>
      <c r="T590" s="78" t="s">
        <v>738</v>
      </c>
      <c r="U590" s="56" t="s">
        <v>741</v>
      </c>
      <c r="V590" s="78">
        <v>52.0</v>
      </c>
      <c r="X590" s="94">
        <f>X589/60</f>
        <v>6.483333333</v>
      </c>
    </row>
    <row r="591">
      <c r="S591" s="78" t="s">
        <v>608</v>
      </c>
      <c r="T591" s="78" t="s">
        <v>738</v>
      </c>
      <c r="U591" s="56" t="s">
        <v>742</v>
      </c>
      <c r="V591" s="78">
        <v>51.0</v>
      </c>
    </row>
    <row r="592">
      <c r="S592" s="78" t="s">
        <v>608</v>
      </c>
      <c r="T592" s="78" t="s">
        <v>738</v>
      </c>
      <c r="U592" s="56" t="s">
        <v>743</v>
      </c>
      <c r="V592" s="78">
        <v>53.0</v>
      </c>
    </row>
    <row r="593">
      <c r="S593" s="78" t="s">
        <v>608</v>
      </c>
      <c r="T593" s="78" t="s">
        <v>738</v>
      </c>
      <c r="U593" s="56" t="s">
        <v>744</v>
      </c>
      <c r="V593" s="78">
        <v>53.0</v>
      </c>
    </row>
    <row r="594">
      <c r="S594" s="78" t="s">
        <v>608</v>
      </c>
      <c r="T594" s="78" t="s">
        <v>738</v>
      </c>
      <c r="U594" s="56" t="s">
        <v>745</v>
      </c>
      <c r="V594" s="78">
        <v>40.0</v>
      </c>
    </row>
    <row r="595">
      <c r="S595" s="78" t="s">
        <v>608</v>
      </c>
      <c r="T595" s="78" t="s">
        <v>746</v>
      </c>
      <c r="U595" s="56" t="s">
        <v>747</v>
      </c>
      <c r="V595" s="78">
        <v>60.0</v>
      </c>
      <c r="X595" s="78" t="s">
        <v>130</v>
      </c>
    </row>
    <row r="596">
      <c r="S596" s="78" t="s">
        <v>608</v>
      </c>
      <c r="T596" s="78" t="s">
        <v>746</v>
      </c>
      <c r="U596" s="56" t="s">
        <v>748</v>
      </c>
      <c r="V596" s="78">
        <v>61.0</v>
      </c>
      <c r="X596" s="11">
        <f>SUM(V595:V599)</f>
        <v>294</v>
      </c>
    </row>
    <row r="597">
      <c r="S597" s="78" t="s">
        <v>608</v>
      </c>
      <c r="T597" s="78" t="s">
        <v>746</v>
      </c>
      <c r="U597" s="56" t="s">
        <v>749</v>
      </c>
      <c r="V597" s="78">
        <v>40.0</v>
      </c>
      <c r="X597" s="94">
        <f>X596/60</f>
        <v>4.9</v>
      </c>
    </row>
    <row r="598">
      <c r="S598" s="78" t="s">
        <v>608</v>
      </c>
      <c r="T598" s="78" t="s">
        <v>746</v>
      </c>
      <c r="U598" s="56" t="s">
        <v>750</v>
      </c>
      <c r="V598" s="78">
        <v>73.0</v>
      </c>
    </row>
    <row r="599">
      <c r="S599" s="78" t="s">
        <v>608</v>
      </c>
      <c r="T599" s="78" t="s">
        <v>746</v>
      </c>
      <c r="U599" s="56" t="s">
        <v>751</v>
      </c>
      <c r="V599" s="78">
        <v>60.0</v>
      </c>
    </row>
    <row r="600">
      <c r="S600" s="78" t="s">
        <v>608</v>
      </c>
      <c r="T600" s="78" t="s">
        <v>752</v>
      </c>
      <c r="U600" s="56" t="s">
        <v>753</v>
      </c>
      <c r="V600" s="78">
        <v>7.0</v>
      </c>
      <c r="X600" s="78" t="s">
        <v>130</v>
      </c>
    </row>
    <row r="601">
      <c r="S601" s="78" t="s">
        <v>608</v>
      </c>
      <c r="T601" s="78" t="s">
        <v>752</v>
      </c>
      <c r="U601" s="56" t="s">
        <v>754</v>
      </c>
      <c r="V601" s="78">
        <v>45.0</v>
      </c>
      <c r="X601" s="11">
        <f>SUM(V600:V610)</f>
        <v>403</v>
      </c>
    </row>
    <row r="602">
      <c r="S602" s="78" t="s">
        <v>608</v>
      </c>
      <c r="T602" s="78" t="s">
        <v>752</v>
      </c>
      <c r="U602" s="56" t="s">
        <v>755</v>
      </c>
      <c r="V602" s="78">
        <v>45.0</v>
      </c>
      <c r="X602" s="94">
        <f>X601/60</f>
        <v>6.716666667</v>
      </c>
    </row>
    <row r="603">
      <c r="S603" s="78" t="s">
        <v>608</v>
      </c>
      <c r="T603" s="78" t="s">
        <v>752</v>
      </c>
      <c r="U603" s="56" t="s">
        <v>756</v>
      </c>
      <c r="V603" s="78">
        <v>37.0</v>
      </c>
    </row>
    <row r="604">
      <c r="S604" s="78" t="s">
        <v>608</v>
      </c>
      <c r="T604" s="78" t="s">
        <v>752</v>
      </c>
      <c r="U604" s="56" t="s">
        <v>757</v>
      </c>
      <c r="V604" s="78">
        <v>39.0</v>
      </c>
    </row>
    <row r="605">
      <c r="S605" s="78" t="s">
        <v>608</v>
      </c>
      <c r="T605" s="78" t="s">
        <v>752</v>
      </c>
      <c r="U605" s="56" t="s">
        <v>758</v>
      </c>
      <c r="V605" s="78">
        <v>39.0</v>
      </c>
    </row>
    <row r="606">
      <c r="S606" s="78" t="s">
        <v>608</v>
      </c>
      <c r="T606" s="78" t="s">
        <v>752</v>
      </c>
      <c r="U606" s="56" t="s">
        <v>759</v>
      </c>
      <c r="V606" s="78">
        <v>37.0</v>
      </c>
    </row>
    <row r="607">
      <c r="S607" s="78" t="s">
        <v>608</v>
      </c>
      <c r="T607" s="78" t="s">
        <v>752</v>
      </c>
      <c r="U607" s="56" t="s">
        <v>760</v>
      </c>
      <c r="V607" s="78">
        <v>36.0</v>
      </c>
    </row>
    <row r="608">
      <c r="S608" s="78" t="s">
        <v>608</v>
      </c>
      <c r="T608" s="78" t="s">
        <v>752</v>
      </c>
      <c r="U608" s="56" t="s">
        <v>761</v>
      </c>
      <c r="V608" s="78">
        <v>28.0</v>
      </c>
    </row>
    <row r="609">
      <c r="S609" s="78" t="s">
        <v>608</v>
      </c>
      <c r="T609" s="78" t="s">
        <v>752</v>
      </c>
      <c r="U609" s="56" t="s">
        <v>762</v>
      </c>
      <c r="V609" s="78">
        <v>45.0</v>
      </c>
    </row>
    <row r="610">
      <c r="S610" s="78" t="s">
        <v>608</v>
      </c>
      <c r="T610" s="78" t="s">
        <v>752</v>
      </c>
      <c r="U610" s="56" t="s">
        <v>763</v>
      </c>
      <c r="V610" s="78">
        <v>45.0</v>
      </c>
    </row>
    <row r="611">
      <c r="S611" s="78" t="s">
        <v>608</v>
      </c>
      <c r="T611" s="11"/>
      <c r="V611" s="11"/>
    </row>
    <row r="612">
      <c r="S612" s="78" t="s">
        <v>608</v>
      </c>
      <c r="T612" s="78" t="s">
        <v>764</v>
      </c>
      <c r="U612" s="56" t="s">
        <v>765</v>
      </c>
      <c r="V612" s="78">
        <v>11.0</v>
      </c>
      <c r="X612" s="78" t="s">
        <v>130</v>
      </c>
    </row>
    <row r="613">
      <c r="S613" s="78" t="s">
        <v>608</v>
      </c>
      <c r="T613" s="78" t="s">
        <v>764</v>
      </c>
      <c r="U613" s="56" t="s">
        <v>766</v>
      </c>
      <c r="V613" s="78">
        <v>37.0</v>
      </c>
      <c r="X613" s="11">
        <f>SUM(V612:V641)</f>
        <v>947</v>
      </c>
    </row>
    <row r="614">
      <c r="S614" s="78" t="s">
        <v>608</v>
      </c>
      <c r="T614" s="78" t="s">
        <v>764</v>
      </c>
      <c r="U614" s="56" t="s">
        <v>767</v>
      </c>
      <c r="V614" s="78">
        <v>46.0</v>
      </c>
      <c r="X614" s="94">
        <f>X613/60</f>
        <v>15.78333333</v>
      </c>
    </row>
    <row r="615">
      <c r="S615" s="78" t="s">
        <v>608</v>
      </c>
      <c r="T615" s="78" t="s">
        <v>764</v>
      </c>
      <c r="U615" s="56" t="s">
        <v>768</v>
      </c>
      <c r="V615" s="78">
        <v>40.0</v>
      </c>
    </row>
    <row r="616">
      <c r="S616" s="78" t="s">
        <v>608</v>
      </c>
      <c r="T616" s="78" t="s">
        <v>764</v>
      </c>
      <c r="U616" s="56" t="s">
        <v>769</v>
      </c>
      <c r="V616" s="78">
        <v>43.0</v>
      </c>
    </row>
    <row r="617">
      <c r="S617" s="78" t="s">
        <v>608</v>
      </c>
      <c r="T617" s="78" t="s">
        <v>764</v>
      </c>
      <c r="U617" s="56" t="s">
        <v>770</v>
      </c>
      <c r="V617" s="78">
        <v>7.0</v>
      </c>
    </row>
    <row r="618">
      <c r="S618" s="78" t="s">
        <v>608</v>
      </c>
      <c r="T618" s="78" t="s">
        <v>764</v>
      </c>
      <c r="U618" s="56" t="s">
        <v>771</v>
      </c>
      <c r="V618" s="78">
        <v>8.0</v>
      </c>
    </row>
    <row r="619">
      <c r="S619" s="78" t="s">
        <v>608</v>
      </c>
      <c r="T619" s="78" t="s">
        <v>764</v>
      </c>
      <c r="U619" s="56" t="s">
        <v>772</v>
      </c>
      <c r="V619" s="78">
        <v>8.0</v>
      </c>
    </row>
    <row r="620">
      <c r="S620" s="78" t="s">
        <v>608</v>
      </c>
      <c r="T620" s="78" t="s">
        <v>764</v>
      </c>
      <c r="U620" s="56" t="s">
        <v>773</v>
      </c>
      <c r="V620" s="78">
        <v>35.0</v>
      </c>
    </row>
    <row r="621">
      <c r="S621" s="78" t="s">
        <v>608</v>
      </c>
      <c r="T621" s="78" t="s">
        <v>764</v>
      </c>
      <c r="U621" s="56" t="s">
        <v>774</v>
      </c>
      <c r="V621" s="78">
        <v>35.0</v>
      </c>
    </row>
    <row r="622">
      <c r="S622" s="78" t="s">
        <v>608</v>
      </c>
      <c r="T622" s="78" t="s">
        <v>764</v>
      </c>
      <c r="U622" s="56" t="s">
        <v>775</v>
      </c>
      <c r="V622" s="78">
        <v>15.0</v>
      </c>
    </row>
    <row r="623">
      <c r="S623" s="78" t="s">
        <v>608</v>
      </c>
      <c r="T623" s="11"/>
      <c r="V623" s="11"/>
    </row>
    <row r="624">
      <c r="S624" s="78" t="s">
        <v>608</v>
      </c>
      <c r="T624" s="78" t="s">
        <v>764</v>
      </c>
      <c r="U624" s="56" t="s">
        <v>776</v>
      </c>
      <c r="V624" s="78">
        <v>39.0</v>
      </c>
    </row>
    <row r="625">
      <c r="S625" s="78" t="s">
        <v>608</v>
      </c>
      <c r="T625" s="78" t="s">
        <v>764</v>
      </c>
      <c r="U625" s="56" t="s">
        <v>777</v>
      </c>
      <c r="V625" s="78">
        <v>45.0</v>
      </c>
    </row>
    <row r="626">
      <c r="S626" s="78" t="s">
        <v>608</v>
      </c>
      <c r="T626" s="78" t="s">
        <v>764</v>
      </c>
      <c r="U626" s="56" t="s">
        <v>778</v>
      </c>
      <c r="V626" s="78">
        <v>23.0</v>
      </c>
    </row>
    <row r="627">
      <c r="S627" s="78" t="s">
        <v>608</v>
      </c>
      <c r="T627" s="78" t="s">
        <v>764</v>
      </c>
      <c r="U627" s="56" t="s">
        <v>779</v>
      </c>
      <c r="V627" s="78">
        <v>33.0</v>
      </c>
    </row>
    <row r="628">
      <c r="S628" s="78" t="s">
        <v>608</v>
      </c>
      <c r="T628" s="78" t="s">
        <v>764</v>
      </c>
      <c r="U628" s="56" t="s">
        <v>780</v>
      </c>
      <c r="V628" s="78">
        <v>12.0</v>
      </c>
    </row>
    <row r="629">
      <c r="S629" s="78" t="s">
        <v>608</v>
      </c>
      <c r="T629" s="78" t="s">
        <v>764</v>
      </c>
      <c r="U629" s="56" t="s">
        <v>781</v>
      </c>
      <c r="V629" s="78">
        <v>44.0</v>
      </c>
    </row>
    <row r="630">
      <c r="S630" s="78" t="s">
        <v>608</v>
      </c>
      <c r="T630" s="11"/>
      <c r="V630" s="11"/>
    </row>
    <row r="631">
      <c r="S631" s="78" t="s">
        <v>608</v>
      </c>
      <c r="T631" s="78" t="s">
        <v>764</v>
      </c>
      <c r="U631" s="56" t="s">
        <v>782</v>
      </c>
      <c r="V631" s="78">
        <v>58.0</v>
      </c>
    </row>
    <row r="632">
      <c r="S632" s="78" t="s">
        <v>608</v>
      </c>
      <c r="T632" s="78" t="s">
        <v>764</v>
      </c>
      <c r="U632" s="56" t="s">
        <v>783</v>
      </c>
      <c r="V632" s="78">
        <v>70.0</v>
      </c>
    </row>
    <row r="633">
      <c r="S633" s="78" t="s">
        <v>608</v>
      </c>
      <c r="T633" s="78" t="s">
        <v>764</v>
      </c>
      <c r="U633" s="56" t="s">
        <v>784</v>
      </c>
      <c r="V633" s="78">
        <v>48.0</v>
      </c>
    </row>
    <row r="634">
      <c r="S634" s="78" t="s">
        <v>608</v>
      </c>
      <c r="T634" s="78" t="s">
        <v>764</v>
      </c>
      <c r="U634" s="56" t="s">
        <v>785</v>
      </c>
      <c r="V634" s="78">
        <v>35.0</v>
      </c>
    </row>
    <row r="635">
      <c r="S635" s="78" t="s">
        <v>608</v>
      </c>
      <c r="T635" s="78" t="s">
        <v>764</v>
      </c>
      <c r="U635" s="56" t="s">
        <v>786</v>
      </c>
      <c r="V635" s="78">
        <v>52.0</v>
      </c>
    </row>
    <row r="636">
      <c r="S636" s="78" t="s">
        <v>608</v>
      </c>
      <c r="T636" s="78" t="s">
        <v>764</v>
      </c>
      <c r="U636" s="56" t="s">
        <v>787</v>
      </c>
      <c r="V636" s="78">
        <v>43.0</v>
      </c>
    </row>
    <row r="637">
      <c r="S637" s="78" t="s">
        <v>608</v>
      </c>
      <c r="T637" s="11"/>
      <c r="V637" s="11"/>
    </row>
    <row r="638">
      <c r="S638" s="78" t="s">
        <v>608</v>
      </c>
      <c r="T638" s="78" t="s">
        <v>764</v>
      </c>
      <c r="U638" s="56" t="s">
        <v>788</v>
      </c>
      <c r="V638" s="78">
        <v>66.0</v>
      </c>
    </row>
    <row r="639">
      <c r="S639" s="78" t="s">
        <v>608</v>
      </c>
      <c r="T639" s="78" t="s">
        <v>764</v>
      </c>
      <c r="U639" s="56" t="s">
        <v>789</v>
      </c>
      <c r="V639" s="78">
        <v>34.0</v>
      </c>
    </row>
    <row r="640">
      <c r="S640" s="78" t="s">
        <v>608</v>
      </c>
      <c r="T640" s="78" t="s">
        <v>764</v>
      </c>
      <c r="U640" s="56" t="s">
        <v>790</v>
      </c>
      <c r="V640" s="78">
        <v>45.0</v>
      </c>
    </row>
    <row r="641">
      <c r="S641" s="78" t="s">
        <v>608</v>
      </c>
      <c r="T641" s="78" t="s">
        <v>764</v>
      </c>
      <c r="U641" s="56" t="s">
        <v>791</v>
      </c>
      <c r="V641" s="78">
        <v>15.0</v>
      </c>
    </row>
    <row r="642">
      <c r="S642" s="78" t="s">
        <v>608</v>
      </c>
      <c r="T642" s="11"/>
      <c r="V642" s="11"/>
    </row>
    <row r="643">
      <c r="S643" s="78" t="s">
        <v>608</v>
      </c>
      <c r="T643" s="11"/>
      <c r="V643" s="11"/>
    </row>
    <row r="644">
      <c r="S644" s="78" t="s">
        <v>608</v>
      </c>
      <c r="T644" s="11"/>
      <c r="V644" s="11"/>
    </row>
    <row r="645">
      <c r="S645" s="78" t="s">
        <v>608</v>
      </c>
      <c r="T645" s="11"/>
      <c r="V645" s="11"/>
    </row>
    <row r="646">
      <c r="S646" s="78" t="s">
        <v>608</v>
      </c>
      <c r="T646" s="11"/>
      <c r="V646" s="11"/>
    </row>
    <row r="647">
      <c r="S647" s="78" t="s">
        <v>608</v>
      </c>
      <c r="T647" s="11"/>
      <c r="V647" s="11"/>
    </row>
    <row r="648">
      <c r="S648" s="78" t="s">
        <v>608</v>
      </c>
      <c r="T648" s="78" t="s">
        <v>792</v>
      </c>
      <c r="U648" s="56" t="s">
        <v>793</v>
      </c>
      <c r="V648" s="78">
        <v>41.0</v>
      </c>
      <c r="X648" s="78" t="s">
        <v>130</v>
      </c>
    </row>
    <row r="649">
      <c r="S649" s="78" t="s">
        <v>608</v>
      </c>
      <c r="T649" s="78" t="s">
        <v>792</v>
      </c>
      <c r="U649" s="56" t="s">
        <v>794</v>
      </c>
      <c r="V649" s="78">
        <v>45.0</v>
      </c>
      <c r="X649" s="11">
        <f>SUM(V648:V705)</f>
        <v>2523</v>
      </c>
    </row>
    <row r="650">
      <c r="S650" s="78" t="s">
        <v>608</v>
      </c>
      <c r="T650" s="78" t="s">
        <v>792</v>
      </c>
      <c r="U650" s="56" t="s">
        <v>795</v>
      </c>
      <c r="V650" s="78">
        <v>45.0</v>
      </c>
      <c r="X650" s="94">
        <f>X649/60</f>
        <v>42.05</v>
      </c>
    </row>
    <row r="651">
      <c r="S651" s="78" t="s">
        <v>608</v>
      </c>
      <c r="T651" s="78" t="s">
        <v>792</v>
      </c>
      <c r="U651" s="56" t="s">
        <v>796</v>
      </c>
      <c r="V651" s="78">
        <v>34.0</v>
      </c>
    </row>
    <row r="652">
      <c r="S652" s="78" t="s">
        <v>608</v>
      </c>
      <c r="T652" s="78" t="s">
        <v>792</v>
      </c>
      <c r="U652" s="56" t="s">
        <v>797</v>
      </c>
      <c r="V652" s="78">
        <v>34.0</v>
      </c>
    </row>
    <row r="653">
      <c r="S653" s="78" t="s">
        <v>608</v>
      </c>
      <c r="T653" s="78" t="s">
        <v>792</v>
      </c>
      <c r="U653" s="56" t="s">
        <v>798</v>
      </c>
      <c r="V653" s="78">
        <v>35.0</v>
      </c>
    </row>
    <row r="654">
      <c r="S654" s="78" t="s">
        <v>608</v>
      </c>
      <c r="T654" s="78" t="s">
        <v>792</v>
      </c>
      <c r="U654" s="56" t="s">
        <v>799</v>
      </c>
      <c r="V654" s="78">
        <v>42.0</v>
      </c>
    </row>
    <row r="655">
      <c r="S655" s="78" t="s">
        <v>608</v>
      </c>
      <c r="T655" s="78" t="s">
        <v>792</v>
      </c>
      <c r="U655" s="56" t="s">
        <v>800</v>
      </c>
      <c r="V655" s="78">
        <v>39.0</v>
      </c>
    </row>
    <row r="656">
      <c r="S656" s="78" t="s">
        <v>608</v>
      </c>
      <c r="T656" s="78" t="s">
        <v>792</v>
      </c>
      <c r="U656" s="56" t="s">
        <v>801</v>
      </c>
      <c r="V656" s="78">
        <v>42.0</v>
      </c>
    </row>
    <row r="657">
      <c r="S657" s="78" t="s">
        <v>608</v>
      </c>
      <c r="T657" s="11"/>
      <c r="V657" s="11"/>
    </row>
    <row r="658">
      <c r="S658" s="78" t="s">
        <v>608</v>
      </c>
      <c r="T658" s="78" t="s">
        <v>792</v>
      </c>
      <c r="U658" s="56" t="s">
        <v>802</v>
      </c>
      <c r="V658" s="78">
        <v>37.0</v>
      </c>
    </row>
    <row r="659">
      <c r="S659" s="78" t="s">
        <v>608</v>
      </c>
      <c r="T659" s="78" t="s">
        <v>792</v>
      </c>
      <c r="U659" s="56" t="s">
        <v>803</v>
      </c>
      <c r="V659" s="78">
        <v>39.0</v>
      </c>
    </row>
    <row r="660">
      <c r="S660" s="78" t="s">
        <v>608</v>
      </c>
      <c r="T660" s="78" t="s">
        <v>792</v>
      </c>
      <c r="U660" s="56" t="s">
        <v>804</v>
      </c>
      <c r="V660" s="78">
        <v>41.0</v>
      </c>
    </row>
    <row r="661">
      <c r="S661" s="78" t="s">
        <v>608</v>
      </c>
      <c r="T661" s="78" t="s">
        <v>792</v>
      </c>
      <c r="U661" s="56" t="s">
        <v>805</v>
      </c>
      <c r="V661" s="78">
        <v>50.0</v>
      </c>
    </row>
    <row r="662">
      <c r="S662" s="78" t="s">
        <v>608</v>
      </c>
      <c r="T662" s="78" t="s">
        <v>792</v>
      </c>
      <c r="U662" s="56" t="s">
        <v>806</v>
      </c>
      <c r="V662" s="78">
        <v>32.0</v>
      </c>
    </row>
    <row r="663">
      <c r="S663" s="78" t="s">
        <v>608</v>
      </c>
      <c r="T663" s="78" t="s">
        <v>792</v>
      </c>
      <c r="U663" s="56" t="s">
        <v>807</v>
      </c>
      <c r="V663" s="78">
        <v>49.0</v>
      </c>
    </row>
    <row r="664">
      <c r="S664" s="78" t="s">
        <v>608</v>
      </c>
      <c r="T664" s="78" t="s">
        <v>792</v>
      </c>
      <c r="U664" s="56" t="s">
        <v>808</v>
      </c>
      <c r="V664" s="78">
        <v>31.0</v>
      </c>
    </row>
    <row r="665">
      <c r="S665" s="78" t="s">
        <v>608</v>
      </c>
      <c r="T665" s="78" t="s">
        <v>792</v>
      </c>
      <c r="U665" s="56" t="s">
        <v>809</v>
      </c>
      <c r="V665" s="78">
        <v>39.0</v>
      </c>
    </row>
    <row r="666">
      <c r="S666" s="78" t="s">
        <v>608</v>
      </c>
      <c r="T666" s="78" t="s">
        <v>792</v>
      </c>
      <c r="U666" s="56" t="s">
        <v>810</v>
      </c>
      <c r="V666" s="78">
        <v>47.0</v>
      </c>
    </row>
    <row r="667">
      <c r="S667" s="78" t="s">
        <v>608</v>
      </c>
      <c r="T667" s="78" t="s">
        <v>792</v>
      </c>
      <c r="U667" s="56" t="s">
        <v>811</v>
      </c>
      <c r="V667" s="78">
        <v>48.0</v>
      </c>
    </row>
    <row r="668">
      <c r="S668" s="78" t="s">
        <v>608</v>
      </c>
      <c r="T668" s="78" t="s">
        <v>792</v>
      </c>
      <c r="U668" s="56" t="s">
        <v>812</v>
      </c>
      <c r="V668" s="78">
        <v>48.0</v>
      </c>
    </row>
    <row r="669">
      <c r="S669" s="78" t="s">
        <v>608</v>
      </c>
      <c r="T669" s="78" t="s">
        <v>792</v>
      </c>
      <c r="U669" s="56" t="s">
        <v>813</v>
      </c>
      <c r="V669" s="78">
        <v>45.0</v>
      </c>
    </row>
    <row r="670">
      <c r="S670" s="78" t="s">
        <v>608</v>
      </c>
      <c r="T670" s="78" t="s">
        <v>792</v>
      </c>
      <c r="U670" s="56" t="s">
        <v>814</v>
      </c>
      <c r="V670" s="78">
        <v>41.0</v>
      </c>
    </row>
    <row r="671">
      <c r="S671" s="78" t="s">
        <v>608</v>
      </c>
      <c r="T671" s="78" t="s">
        <v>792</v>
      </c>
      <c r="U671" s="56" t="s">
        <v>815</v>
      </c>
      <c r="V671" s="78">
        <v>46.0</v>
      </c>
    </row>
    <row r="672">
      <c r="S672" s="78" t="s">
        <v>608</v>
      </c>
      <c r="T672" s="78" t="s">
        <v>792</v>
      </c>
      <c r="U672" s="56" t="s">
        <v>816</v>
      </c>
      <c r="V672" s="78">
        <v>52.0</v>
      </c>
    </row>
    <row r="673">
      <c r="S673" s="78" t="s">
        <v>608</v>
      </c>
      <c r="T673" s="78" t="s">
        <v>792</v>
      </c>
      <c r="U673" s="56" t="s">
        <v>817</v>
      </c>
      <c r="V673" s="78">
        <v>46.0</v>
      </c>
    </row>
    <row r="674">
      <c r="S674" s="78" t="s">
        <v>608</v>
      </c>
      <c r="T674" s="78" t="s">
        <v>792</v>
      </c>
      <c r="U674" s="56" t="s">
        <v>818</v>
      </c>
      <c r="V674" s="78">
        <v>49.0</v>
      </c>
    </row>
    <row r="675">
      <c r="S675" s="78" t="s">
        <v>608</v>
      </c>
      <c r="T675" s="78" t="s">
        <v>792</v>
      </c>
      <c r="U675" s="56" t="s">
        <v>819</v>
      </c>
      <c r="V675" s="78">
        <v>37.0</v>
      </c>
    </row>
    <row r="676">
      <c r="S676" s="78" t="s">
        <v>608</v>
      </c>
      <c r="T676" s="78" t="s">
        <v>792</v>
      </c>
      <c r="U676" s="56" t="s">
        <v>820</v>
      </c>
      <c r="V676" s="78">
        <v>39.0</v>
      </c>
    </row>
    <row r="677">
      <c r="S677" s="78" t="s">
        <v>608</v>
      </c>
      <c r="T677" s="78" t="s">
        <v>792</v>
      </c>
      <c r="U677" s="56" t="s">
        <v>821</v>
      </c>
      <c r="V677" s="78">
        <v>61.0</v>
      </c>
    </row>
    <row r="678">
      <c r="S678" s="78" t="s">
        <v>608</v>
      </c>
      <c r="T678" s="78" t="s">
        <v>792</v>
      </c>
      <c r="U678" s="56" t="s">
        <v>822</v>
      </c>
      <c r="V678" s="78">
        <v>32.0</v>
      </c>
    </row>
    <row r="679">
      <c r="S679" s="78" t="s">
        <v>608</v>
      </c>
      <c r="T679" s="78" t="s">
        <v>792</v>
      </c>
      <c r="U679" s="56" t="s">
        <v>823</v>
      </c>
      <c r="V679" s="78">
        <v>52.0</v>
      </c>
    </row>
    <row r="680">
      <c r="S680" s="78" t="s">
        <v>608</v>
      </c>
      <c r="T680" s="78" t="s">
        <v>792</v>
      </c>
      <c r="U680" s="56" t="s">
        <v>824</v>
      </c>
      <c r="V680" s="78">
        <v>50.0</v>
      </c>
    </row>
    <row r="681">
      <c r="S681" s="78" t="s">
        <v>608</v>
      </c>
      <c r="T681" s="78" t="s">
        <v>792</v>
      </c>
      <c r="U681" s="56" t="s">
        <v>825</v>
      </c>
      <c r="V681" s="78">
        <v>50.0</v>
      </c>
    </row>
    <row r="682">
      <c r="S682" s="78" t="s">
        <v>608</v>
      </c>
      <c r="T682" s="78" t="s">
        <v>792</v>
      </c>
      <c r="U682" s="56" t="s">
        <v>826</v>
      </c>
      <c r="V682" s="78">
        <v>45.0</v>
      </c>
    </row>
    <row r="683">
      <c r="S683" s="78" t="s">
        <v>608</v>
      </c>
      <c r="T683" s="78" t="s">
        <v>792</v>
      </c>
      <c r="U683" s="56" t="s">
        <v>827</v>
      </c>
      <c r="V683" s="78">
        <v>47.0</v>
      </c>
    </row>
    <row r="684">
      <c r="S684" s="78" t="s">
        <v>608</v>
      </c>
      <c r="T684" s="78" t="s">
        <v>792</v>
      </c>
      <c r="U684" s="56" t="s">
        <v>828</v>
      </c>
      <c r="V684" s="78">
        <v>40.0</v>
      </c>
    </row>
    <row r="685">
      <c r="S685" s="78" t="s">
        <v>608</v>
      </c>
      <c r="T685" s="78" t="s">
        <v>792</v>
      </c>
      <c r="U685" s="56" t="s">
        <v>829</v>
      </c>
      <c r="V685" s="78">
        <v>46.0</v>
      </c>
    </row>
    <row r="686">
      <c r="S686" s="78" t="s">
        <v>608</v>
      </c>
      <c r="T686" s="78" t="s">
        <v>792</v>
      </c>
      <c r="U686" s="56" t="s">
        <v>830</v>
      </c>
      <c r="V686" s="78">
        <v>55.0</v>
      </c>
    </row>
    <row r="687">
      <c r="S687" s="78" t="s">
        <v>608</v>
      </c>
      <c r="T687" s="78" t="s">
        <v>792</v>
      </c>
      <c r="U687" s="56" t="s">
        <v>831</v>
      </c>
      <c r="V687" s="78">
        <v>37.0</v>
      </c>
    </row>
    <row r="688">
      <c r="S688" s="78" t="s">
        <v>608</v>
      </c>
      <c r="T688" s="78" t="s">
        <v>792</v>
      </c>
      <c r="U688" s="56" t="s">
        <v>832</v>
      </c>
      <c r="V688" s="78">
        <v>37.0</v>
      </c>
    </row>
    <row r="689">
      <c r="S689" s="78" t="s">
        <v>608</v>
      </c>
      <c r="T689" s="78" t="s">
        <v>792</v>
      </c>
      <c r="U689" s="56" t="s">
        <v>833</v>
      </c>
      <c r="V689" s="78">
        <v>54.0</v>
      </c>
    </row>
    <row r="690">
      <c r="S690" s="78" t="s">
        <v>608</v>
      </c>
      <c r="T690" s="78" t="s">
        <v>792</v>
      </c>
      <c r="U690" s="56" t="s">
        <v>834</v>
      </c>
      <c r="V690" s="78">
        <v>18.0</v>
      </c>
    </row>
    <row r="691">
      <c r="S691" s="78" t="s">
        <v>608</v>
      </c>
      <c r="T691" s="78" t="s">
        <v>792</v>
      </c>
      <c r="U691" s="56" t="s">
        <v>835</v>
      </c>
      <c r="V691" s="78">
        <v>45.0</v>
      </c>
    </row>
    <row r="692">
      <c r="S692" s="78" t="s">
        <v>608</v>
      </c>
      <c r="T692" s="78" t="s">
        <v>792</v>
      </c>
      <c r="U692" s="56" t="s">
        <v>836</v>
      </c>
      <c r="V692" s="78">
        <v>46.0</v>
      </c>
    </row>
    <row r="693">
      <c r="S693" s="78" t="s">
        <v>608</v>
      </c>
      <c r="T693" s="78" t="s">
        <v>792</v>
      </c>
      <c r="U693" s="56" t="s">
        <v>837</v>
      </c>
      <c r="V693" s="78">
        <v>42.0</v>
      </c>
    </row>
    <row r="694">
      <c r="S694" s="78" t="s">
        <v>608</v>
      </c>
      <c r="T694" s="11"/>
      <c r="V694" s="11"/>
    </row>
    <row r="695">
      <c r="S695" s="78" t="s">
        <v>608</v>
      </c>
      <c r="T695" s="78" t="s">
        <v>792</v>
      </c>
      <c r="U695" s="56" t="s">
        <v>838</v>
      </c>
      <c r="V695" s="78">
        <v>36.0</v>
      </c>
    </row>
    <row r="696">
      <c r="S696" s="78" t="s">
        <v>608</v>
      </c>
      <c r="T696" s="78" t="s">
        <v>792</v>
      </c>
      <c r="U696" s="56" t="s">
        <v>839</v>
      </c>
      <c r="V696" s="78">
        <v>38.0</v>
      </c>
    </row>
    <row r="697">
      <c r="S697" s="78" t="s">
        <v>608</v>
      </c>
      <c r="T697" s="78" t="s">
        <v>792</v>
      </c>
      <c r="U697" s="56" t="s">
        <v>840</v>
      </c>
      <c r="V697" s="78">
        <v>36.0</v>
      </c>
    </row>
    <row r="698">
      <c r="S698" s="78" t="s">
        <v>608</v>
      </c>
      <c r="T698" s="78" t="s">
        <v>792</v>
      </c>
      <c r="U698" s="56" t="s">
        <v>841</v>
      </c>
      <c r="V698" s="78">
        <v>50.0</v>
      </c>
    </row>
    <row r="699">
      <c r="S699" s="78" t="s">
        <v>608</v>
      </c>
      <c r="T699" s="78" t="s">
        <v>792</v>
      </c>
      <c r="U699" s="56" t="s">
        <v>842</v>
      </c>
      <c r="V699" s="78">
        <v>55.0</v>
      </c>
    </row>
    <row r="700">
      <c r="S700" s="78" t="s">
        <v>608</v>
      </c>
      <c r="T700" s="78" t="s">
        <v>792</v>
      </c>
      <c r="U700" s="56" t="s">
        <v>843</v>
      </c>
      <c r="V700" s="78">
        <v>50.0</v>
      </c>
    </row>
    <row r="701">
      <c r="S701" s="78" t="s">
        <v>608</v>
      </c>
      <c r="T701" s="78" t="s">
        <v>792</v>
      </c>
      <c r="U701" s="56" t="s">
        <v>844</v>
      </c>
      <c r="V701" s="78">
        <v>50.0</v>
      </c>
    </row>
    <row r="702">
      <c r="S702" s="78" t="s">
        <v>608</v>
      </c>
      <c r="T702" s="78" t="s">
        <v>792</v>
      </c>
      <c r="U702" s="56" t="s">
        <v>845</v>
      </c>
      <c r="V702" s="78">
        <v>71.0</v>
      </c>
    </row>
    <row r="703">
      <c r="S703" s="78" t="s">
        <v>608</v>
      </c>
      <c r="T703" s="78" t="s">
        <v>792</v>
      </c>
      <c r="U703" s="56" t="s">
        <v>846</v>
      </c>
      <c r="V703" s="78">
        <v>67.0</v>
      </c>
    </row>
    <row r="704">
      <c r="S704" s="78" t="s">
        <v>608</v>
      </c>
      <c r="T704" s="78" t="s">
        <v>792</v>
      </c>
      <c r="U704" s="56" t="s">
        <v>847</v>
      </c>
      <c r="V704" s="78">
        <v>60.0</v>
      </c>
    </row>
    <row r="705">
      <c r="S705" s="78" t="s">
        <v>608</v>
      </c>
      <c r="T705" s="78" t="s">
        <v>792</v>
      </c>
      <c r="U705" s="56" t="s">
        <v>848</v>
      </c>
      <c r="V705" s="78">
        <v>80.0</v>
      </c>
    </row>
    <row r="706">
      <c r="S706" s="78" t="s">
        <v>608</v>
      </c>
      <c r="T706" s="11"/>
      <c r="V706" s="11"/>
    </row>
    <row r="707">
      <c r="S707" s="78" t="s">
        <v>608</v>
      </c>
      <c r="T707" s="11"/>
      <c r="V707" s="11"/>
    </row>
    <row r="708">
      <c r="S708" s="78" t="s">
        <v>608</v>
      </c>
      <c r="T708" s="11"/>
      <c r="V708" s="11"/>
    </row>
    <row r="709">
      <c r="S709" s="78" t="s">
        <v>608</v>
      </c>
      <c r="T709" s="11"/>
      <c r="V709" s="11"/>
    </row>
    <row r="710">
      <c r="S710" s="78" t="s">
        <v>608</v>
      </c>
      <c r="T710" s="11"/>
      <c r="V710" s="11"/>
    </row>
    <row r="711">
      <c r="S711" s="78" t="s">
        <v>608</v>
      </c>
      <c r="T711" s="11"/>
      <c r="V711" s="11"/>
    </row>
    <row r="712">
      <c r="S712" s="78" t="s">
        <v>608</v>
      </c>
      <c r="T712" s="11"/>
      <c r="V712" s="11"/>
    </row>
    <row r="713">
      <c r="S713" s="78" t="s">
        <v>608</v>
      </c>
      <c r="T713" s="11"/>
      <c r="V713" s="11"/>
    </row>
    <row r="714">
      <c r="S714" s="78" t="s">
        <v>608</v>
      </c>
      <c r="T714" s="78" t="s">
        <v>849</v>
      </c>
      <c r="U714" s="56" t="s">
        <v>850</v>
      </c>
      <c r="V714" s="78">
        <v>44.0</v>
      </c>
      <c r="X714" s="78" t="s">
        <v>130</v>
      </c>
    </row>
    <row r="715">
      <c r="S715" s="78" t="s">
        <v>608</v>
      </c>
      <c r="T715" s="78" t="s">
        <v>849</v>
      </c>
      <c r="U715" s="56" t="s">
        <v>851</v>
      </c>
      <c r="V715" s="78">
        <v>41.0</v>
      </c>
      <c r="X715" s="11">
        <f>SUM(V714:V754)</f>
        <v>1588</v>
      </c>
    </row>
    <row r="716">
      <c r="S716" s="78" t="s">
        <v>608</v>
      </c>
      <c r="T716" s="78" t="s">
        <v>849</v>
      </c>
      <c r="U716" s="56" t="s">
        <v>852</v>
      </c>
      <c r="V716" s="78">
        <v>42.0</v>
      </c>
      <c r="X716" s="94">
        <f>X715/60</f>
        <v>26.46666667</v>
      </c>
    </row>
    <row r="717">
      <c r="S717" s="78" t="s">
        <v>608</v>
      </c>
      <c r="T717" s="78" t="s">
        <v>849</v>
      </c>
      <c r="U717" s="56" t="s">
        <v>853</v>
      </c>
      <c r="V717" s="78">
        <v>35.0</v>
      </c>
    </row>
    <row r="718">
      <c r="S718" s="78" t="s">
        <v>608</v>
      </c>
      <c r="T718" s="78" t="s">
        <v>849</v>
      </c>
      <c r="U718" s="56" t="s">
        <v>854</v>
      </c>
      <c r="V718" s="78">
        <v>59.0</v>
      </c>
    </row>
    <row r="719">
      <c r="S719" s="78" t="s">
        <v>608</v>
      </c>
      <c r="T719" s="78" t="s">
        <v>849</v>
      </c>
      <c r="U719" s="56" t="s">
        <v>855</v>
      </c>
      <c r="V719" s="78">
        <v>44.0</v>
      </c>
    </row>
    <row r="720">
      <c r="S720" s="78" t="s">
        <v>608</v>
      </c>
      <c r="T720" s="78" t="s">
        <v>849</v>
      </c>
      <c r="U720" s="56" t="s">
        <v>856</v>
      </c>
      <c r="V720" s="78">
        <v>30.0</v>
      </c>
    </row>
    <row r="721">
      <c r="S721" s="78" t="s">
        <v>608</v>
      </c>
      <c r="T721" s="78" t="s">
        <v>849</v>
      </c>
      <c r="U721" s="56" t="s">
        <v>857</v>
      </c>
      <c r="V721" s="78">
        <v>40.0</v>
      </c>
    </row>
    <row r="722">
      <c r="S722" s="78" t="s">
        <v>608</v>
      </c>
      <c r="T722" s="78" t="s">
        <v>849</v>
      </c>
      <c r="U722" s="56" t="s">
        <v>858</v>
      </c>
      <c r="V722" s="78">
        <v>15.0</v>
      </c>
    </row>
    <row r="723">
      <c r="S723" s="78" t="s">
        <v>608</v>
      </c>
      <c r="T723" s="78" t="s">
        <v>849</v>
      </c>
      <c r="U723" s="56" t="s">
        <v>859</v>
      </c>
      <c r="V723" s="78">
        <v>33.0</v>
      </c>
    </row>
    <row r="724">
      <c r="S724" s="78" t="s">
        <v>608</v>
      </c>
      <c r="T724" s="78" t="s">
        <v>849</v>
      </c>
      <c r="U724" s="56" t="s">
        <v>860</v>
      </c>
      <c r="V724" s="78">
        <v>29.0</v>
      </c>
    </row>
    <row r="725">
      <c r="S725" s="78" t="s">
        <v>608</v>
      </c>
      <c r="T725" s="78" t="s">
        <v>849</v>
      </c>
      <c r="U725" s="56" t="s">
        <v>861</v>
      </c>
      <c r="V725" s="78">
        <v>37.0</v>
      </c>
    </row>
    <row r="726">
      <c r="S726" s="78" t="s">
        <v>608</v>
      </c>
      <c r="T726" s="78" t="s">
        <v>849</v>
      </c>
      <c r="U726" s="56" t="s">
        <v>862</v>
      </c>
      <c r="V726" s="78">
        <v>40.0</v>
      </c>
    </row>
    <row r="727">
      <c r="S727" s="78" t="s">
        <v>608</v>
      </c>
      <c r="T727" s="78" t="s">
        <v>849</v>
      </c>
      <c r="U727" s="56" t="s">
        <v>863</v>
      </c>
      <c r="V727" s="78">
        <v>40.0</v>
      </c>
    </row>
    <row r="728">
      <c r="S728" s="78" t="s">
        <v>608</v>
      </c>
      <c r="T728" s="78" t="s">
        <v>849</v>
      </c>
      <c r="U728" s="56" t="s">
        <v>864</v>
      </c>
      <c r="V728" s="78">
        <v>32.0</v>
      </c>
    </row>
    <row r="729">
      <c r="S729" s="78" t="s">
        <v>608</v>
      </c>
      <c r="T729" s="78" t="s">
        <v>849</v>
      </c>
      <c r="U729" s="56" t="s">
        <v>865</v>
      </c>
      <c r="V729" s="78">
        <v>50.0</v>
      </c>
    </row>
    <row r="730">
      <c r="S730" s="78" t="s">
        <v>608</v>
      </c>
      <c r="T730" s="78" t="s">
        <v>849</v>
      </c>
      <c r="U730" s="56" t="s">
        <v>866</v>
      </c>
      <c r="V730" s="78">
        <v>48.0</v>
      </c>
    </row>
    <row r="731">
      <c r="S731" s="78" t="s">
        <v>608</v>
      </c>
      <c r="T731" s="78" t="s">
        <v>849</v>
      </c>
      <c r="U731" s="56" t="s">
        <v>867</v>
      </c>
      <c r="V731" s="78">
        <v>53.0</v>
      </c>
    </row>
    <row r="732">
      <c r="S732" s="78" t="s">
        <v>608</v>
      </c>
      <c r="T732" s="78" t="s">
        <v>849</v>
      </c>
      <c r="U732" s="56" t="s">
        <v>868</v>
      </c>
      <c r="V732" s="78">
        <v>31.0</v>
      </c>
    </row>
    <row r="733">
      <c r="S733" s="78" t="s">
        <v>608</v>
      </c>
      <c r="T733" s="11"/>
      <c r="V733" s="11"/>
    </row>
    <row r="734">
      <c r="S734" s="78" t="s">
        <v>608</v>
      </c>
      <c r="T734" s="78" t="s">
        <v>849</v>
      </c>
      <c r="U734" s="56" t="s">
        <v>869</v>
      </c>
      <c r="V734" s="78">
        <v>33.0</v>
      </c>
    </row>
    <row r="735">
      <c r="S735" s="78" t="s">
        <v>608</v>
      </c>
      <c r="T735" s="78" t="s">
        <v>849</v>
      </c>
      <c r="U735" s="56" t="s">
        <v>870</v>
      </c>
      <c r="V735" s="78">
        <v>33.0</v>
      </c>
    </row>
    <row r="736">
      <c r="S736" s="78" t="s">
        <v>608</v>
      </c>
      <c r="T736" s="78" t="s">
        <v>849</v>
      </c>
      <c r="U736" s="56" t="s">
        <v>871</v>
      </c>
      <c r="V736" s="78">
        <v>33.0</v>
      </c>
    </row>
    <row r="737">
      <c r="S737" s="78" t="s">
        <v>608</v>
      </c>
      <c r="T737" s="78" t="s">
        <v>849</v>
      </c>
      <c r="U737" s="56" t="s">
        <v>872</v>
      </c>
      <c r="V737" s="78">
        <v>24.0</v>
      </c>
    </row>
    <row r="738">
      <c r="S738" s="78" t="s">
        <v>608</v>
      </c>
      <c r="T738" s="78" t="s">
        <v>849</v>
      </c>
      <c r="U738" s="56" t="s">
        <v>873</v>
      </c>
      <c r="V738" s="78">
        <v>32.0</v>
      </c>
    </row>
    <row r="739">
      <c r="S739" s="78" t="s">
        <v>608</v>
      </c>
      <c r="T739" s="78" t="s">
        <v>849</v>
      </c>
      <c r="U739" s="56" t="s">
        <v>874</v>
      </c>
      <c r="V739" s="78">
        <v>45.0</v>
      </c>
    </row>
    <row r="740">
      <c r="S740" s="78" t="s">
        <v>608</v>
      </c>
      <c r="T740" s="78" t="s">
        <v>849</v>
      </c>
      <c r="U740" s="56" t="s">
        <v>875</v>
      </c>
      <c r="V740" s="78">
        <v>40.0</v>
      </c>
    </row>
    <row r="741">
      <c r="S741" s="78" t="s">
        <v>608</v>
      </c>
      <c r="T741" s="78" t="s">
        <v>849</v>
      </c>
      <c r="U741" s="56" t="s">
        <v>876</v>
      </c>
      <c r="V741" s="78">
        <v>37.0</v>
      </c>
    </row>
    <row r="742">
      <c r="S742" s="78" t="s">
        <v>608</v>
      </c>
      <c r="T742" s="78" t="s">
        <v>849</v>
      </c>
      <c r="U742" s="56" t="s">
        <v>877</v>
      </c>
      <c r="V742" s="78">
        <v>9.0</v>
      </c>
    </row>
    <row r="743">
      <c r="S743" s="78" t="s">
        <v>608</v>
      </c>
      <c r="T743" s="78" t="s">
        <v>849</v>
      </c>
      <c r="U743" s="56" t="s">
        <v>878</v>
      </c>
      <c r="V743" s="78">
        <v>51.0</v>
      </c>
    </row>
    <row r="744">
      <c r="S744" s="78" t="s">
        <v>608</v>
      </c>
      <c r="T744" s="78" t="s">
        <v>849</v>
      </c>
      <c r="U744" s="56" t="s">
        <v>879</v>
      </c>
      <c r="V744" s="78">
        <v>26.0</v>
      </c>
    </row>
    <row r="745">
      <c r="S745" s="78" t="s">
        <v>608</v>
      </c>
      <c r="T745" s="78" t="s">
        <v>849</v>
      </c>
      <c r="U745" s="56" t="s">
        <v>880</v>
      </c>
      <c r="V745" s="78">
        <v>72.0</v>
      </c>
    </row>
    <row r="746">
      <c r="S746" s="78" t="s">
        <v>608</v>
      </c>
      <c r="T746" s="78" t="s">
        <v>849</v>
      </c>
      <c r="U746" s="56" t="s">
        <v>881</v>
      </c>
      <c r="V746" s="78">
        <v>28.0</v>
      </c>
    </row>
    <row r="747">
      <c r="S747" s="78" t="s">
        <v>608</v>
      </c>
      <c r="T747" s="78" t="s">
        <v>849</v>
      </c>
      <c r="U747" s="56" t="s">
        <v>882</v>
      </c>
      <c r="V747" s="78">
        <v>40.0</v>
      </c>
    </row>
    <row r="748">
      <c r="S748" s="78" t="s">
        <v>608</v>
      </c>
      <c r="T748" s="78" t="s">
        <v>849</v>
      </c>
      <c r="U748" s="56" t="s">
        <v>883</v>
      </c>
      <c r="V748" s="78">
        <v>39.0</v>
      </c>
    </row>
    <row r="749">
      <c r="S749" s="78" t="s">
        <v>608</v>
      </c>
      <c r="T749" s="78" t="s">
        <v>849</v>
      </c>
      <c r="U749" s="56" t="s">
        <v>884</v>
      </c>
      <c r="V749" s="78">
        <v>48.0</v>
      </c>
    </row>
    <row r="750">
      <c r="S750" s="78" t="s">
        <v>608</v>
      </c>
      <c r="T750" s="78" t="s">
        <v>849</v>
      </c>
      <c r="U750" s="56" t="s">
        <v>885</v>
      </c>
      <c r="V750" s="78">
        <v>60.0</v>
      </c>
    </row>
    <row r="751">
      <c r="S751" s="78" t="s">
        <v>608</v>
      </c>
      <c r="T751" s="78" t="s">
        <v>849</v>
      </c>
      <c r="U751" s="56" t="s">
        <v>886</v>
      </c>
      <c r="V751" s="78">
        <v>78.0</v>
      </c>
    </row>
    <row r="752">
      <c r="S752" s="78" t="s">
        <v>608</v>
      </c>
      <c r="T752" s="78" t="s">
        <v>849</v>
      </c>
      <c r="U752" s="56" t="s">
        <v>887</v>
      </c>
      <c r="V752" s="78">
        <v>41.0</v>
      </c>
    </row>
    <row r="753">
      <c r="S753" s="78" t="s">
        <v>608</v>
      </c>
      <c r="T753" s="78" t="s">
        <v>849</v>
      </c>
      <c r="U753" s="56" t="s">
        <v>888</v>
      </c>
      <c r="V753" s="78">
        <v>33.0</v>
      </c>
    </row>
    <row r="754">
      <c r="S754" s="78" t="s">
        <v>608</v>
      </c>
      <c r="T754" s="78" t="s">
        <v>849</v>
      </c>
      <c r="U754" s="56" t="s">
        <v>889</v>
      </c>
      <c r="V754" s="78">
        <v>43.0</v>
      </c>
    </row>
    <row r="755">
      <c r="S755" s="78" t="s">
        <v>608</v>
      </c>
    </row>
    <row r="756">
      <c r="S756" s="78" t="s">
        <v>608</v>
      </c>
      <c r="T756" s="11"/>
      <c r="U756" s="11"/>
      <c r="V756" s="11"/>
    </row>
    <row r="757">
      <c r="S757" s="78" t="s">
        <v>608</v>
      </c>
      <c r="T757" s="148" t="s">
        <v>890</v>
      </c>
      <c r="U757" s="148" t="s">
        <v>891</v>
      </c>
      <c r="V757" s="148">
        <v>25.0</v>
      </c>
      <c r="X757" s="78" t="s">
        <v>130</v>
      </c>
    </row>
    <row r="758">
      <c r="S758" s="78" t="s">
        <v>608</v>
      </c>
      <c r="T758" s="148" t="s">
        <v>890</v>
      </c>
      <c r="U758" s="148" t="s">
        <v>892</v>
      </c>
      <c r="V758" s="148">
        <v>22.0</v>
      </c>
      <c r="X758" s="11">
        <f>SUM(V757:V769)</f>
        <v>423</v>
      </c>
    </row>
    <row r="759">
      <c r="S759" s="78" t="s">
        <v>608</v>
      </c>
      <c r="T759" s="148" t="s">
        <v>890</v>
      </c>
      <c r="U759" s="148" t="s">
        <v>893</v>
      </c>
      <c r="V759" s="148">
        <v>22.0</v>
      </c>
      <c r="X759" s="94">
        <f>X758/60</f>
        <v>7.05</v>
      </c>
    </row>
    <row r="760">
      <c r="S760" s="78" t="s">
        <v>608</v>
      </c>
      <c r="T760" s="148" t="s">
        <v>890</v>
      </c>
      <c r="U760" s="148" t="s">
        <v>894</v>
      </c>
      <c r="V760" s="148">
        <v>15.0</v>
      </c>
    </row>
    <row r="761">
      <c r="S761" s="78" t="s">
        <v>608</v>
      </c>
      <c r="T761" s="148" t="s">
        <v>890</v>
      </c>
      <c r="U761" s="148" t="s">
        <v>895</v>
      </c>
      <c r="V761" s="148">
        <v>26.0</v>
      </c>
    </row>
    <row r="762">
      <c r="S762" s="78" t="s">
        <v>608</v>
      </c>
      <c r="T762" s="148" t="s">
        <v>890</v>
      </c>
      <c r="U762" s="148" t="s">
        <v>896</v>
      </c>
      <c r="V762" s="148">
        <v>24.0</v>
      </c>
    </row>
    <row r="763">
      <c r="S763" s="78" t="s">
        <v>608</v>
      </c>
      <c r="T763" s="148" t="s">
        <v>890</v>
      </c>
      <c r="U763" s="148" t="s">
        <v>897</v>
      </c>
      <c r="V763" s="148">
        <v>53.0</v>
      </c>
    </row>
    <row r="764">
      <c r="S764" s="78" t="s">
        <v>608</v>
      </c>
      <c r="T764" s="148" t="s">
        <v>890</v>
      </c>
      <c r="U764" s="148" t="s">
        <v>898</v>
      </c>
      <c r="V764" s="148">
        <v>46.0</v>
      </c>
    </row>
    <row r="765">
      <c r="S765" s="78" t="s">
        <v>608</v>
      </c>
      <c r="T765" s="148" t="s">
        <v>890</v>
      </c>
      <c r="U765" s="148" t="s">
        <v>899</v>
      </c>
      <c r="V765" s="148">
        <v>55.0</v>
      </c>
    </row>
    <row r="766">
      <c r="S766" s="78" t="s">
        <v>608</v>
      </c>
      <c r="T766" s="148" t="s">
        <v>890</v>
      </c>
      <c r="U766" s="148" t="s">
        <v>900</v>
      </c>
      <c r="V766" s="148">
        <v>40.0</v>
      </c>
    </row>
    <row r="767">
      <c r="S767" s="78" t="s">
        <v>608</v>
      </c>
      <c r="T767" s="148" t="s">
        <v>890</v>
      </c>
      <c r="U767" s="148" t="s">
        <v>901</v>
      </c>
      <c r="V767" s="148">
        <v>24.0</v>
      </c>
    </row>
    <row r="768">
      <c r="S768" s="78" t="s">
        <v>608</v>
      </c>
      <c r="T768" s="148" t="s">
        <v>890</v>
      </c>
      <c r="U768" s="148" t="s">
        <v>902</v>
      </c>
      <c r="V768" s="148">
        <v>36.0</v>
      </c>
    </row>
    <row r="769">
      <c r="S769" s="78" t="s">
        <v>608</v>
      </c>
      <c r="T769" s="148" t="s">
        <v>890</v>
      </c>
      <c r="U769" s="148" t="s">
        <v>903</v>
      </c>
      <c r="V769" s="148">
        <v>35.0</v>
      </c>
    </row>
    <row r="770">
      <c r="T770" s="11"/>
      <c r="U770" s="11"/>
      <c r="V770" s="11"/>
    </row>
  </sheetData>
  <mergeCells count="41">
    <mergeCell ref="S15:W15"/>
    <mergeCell ref="R38:V38"/>
    <mergeCell ref="R58:V58"/>
    <mergeCell ref="S79:S81"/>
    <mergeCell ref="E109:E117"/>
    <mergeCell ref="M109:M115"/>
    <mergeCell ref="N109:N115"/>
    <mergeCell ref="E120:E124"/>
    <mergeCell ref="E127:E132"/>
    <mergeCell ref="E135:E137"/>
    <mergeCell ref="E140:E144"/>
    <mergeCell ref="E147:E151"/>
    <mergeCell ref="E156:E158"/>
    <mergeCell ref="L109:L115"/>
    <mergeCell ref="L116:L122"/>
    <mergeCell ref="M116:M122"/>
    <mergeCell ref="N116:N122"/>
    <mergeCell ref="L123:L129"/>
    <mergeCell ref="M123:M129"/>
    <mergeCell ref="N123:N129"/>
    <mergeCell ref="M144:M150"/>
    <mergeCell ref="N144:N150"/>
    <mergeCell ref="L130:L136"/>
    <mergeCell ref="M130:M136"/>
    <mergeCell ref="N130:N136"/>
    <mergeCell ref="L137:L143"/>
    <mergeCell ref="M137:M143"/>
    <mergeCell ref="N137:N143"/>
    <mergeCell ref="L144:L150"/>
    <mergeCell ref="M165:M171"/>
    <mergeCell ref="N165:N171"/>
    <mergeCell ref="L172:L178"/>
    <mergeCell ref="M172:M178"/>
    <mergeCell ref="N172:N178"/>
    <mergeCell ref="L151:L157"/>
    <mergeCell ref="M151:M157"/>
    <mergeCell ref="N151:N157"/>
    <mergeCell ref="L158:L164"/>
    <mergeCell ref="M158:M164"/>
    <mergeCell ref="N158:N164"/>
    <mergeCell ref="L165:L171"/>
  </mergeCells>
  <conditionalFormatting sqref="S3:T14 U3:U12 S31:W32 Z31:AA32 AA35:AB36">
    <cfRule type="cellIs" dxfId="9" priority="1" operator="equal">
      <formula>0</formula>
    </cfRule>
  </conditionalFormatting>
  <conditionalFormatting sqref="S3:T14 U3:U12 S31:W32 Z31:AA32 AA35:AB36">
    <cfRule type="colorScale" priority="2">
      <colorScale>
        <cfvo type="min"/>
        <cfvo type="formula" val="0"/>
        <cfvo type="max"/>
        <color rgb="FFFF0000"/>
        <color rgb="FFCFE2F3"/>
        <color rgb="FF57BB8A"/>
      </colorScale>
    </cfRule>
  </conditionalFormatting>
  <conditionalFormatting sqref="T41:V55 T61:V75">
    <cfRule type="expression" dxfId="10" priority="3">
      <formula>$W41=1</formula>
    </cfRule>
  </conditionalFormatting>
  <conditionalFormatting sqref="T41:V55 T61:V75">
    <cfRule type="expression" dxfId="11" priority="4">
      <formula>$W41=2</formula>
    </cfRule>
  </conditionalFormatting>
  <conditionalFormatting sqref="T41:V55 T61:V75">
    <cfRule type="expression" dxfId="12" priority="5">
      <formula>$W41=3</formula>
    </cfRule>
  </conditionalFormatting>
  <conditionalFormatting sqref="T41:V55 T61:V75">
    <cfRule type="expression" dxfId="13" priority="6">
      <formula>$W41=4</formula>
    </cfRule>
  </conditionalFormatting>
  <conditionalFormatting sqref="S109:S178">
    <cfRule type="cellIs" dxfId="13" priority="7" operator="equal">
      <formula>0</formula>
    </cfRule>
  </conditionalFormatting>
  <conditionalFormatting sqref="S109:S178">
    <cfRule type="colorScale" priority="8">
      <colorScale>
        <cfvo type="formula" val="0"/>
        <cfvo type="formula" val="2.5"/>
        <cfvo type="formula" val="5"/>
        <color rgb="FFF1C232"/>
        <color rgb="FF6AA84F"/>
        <color rgb="FF3C78D8"/>
      </colorScale>
    </cfRule>
  </conditionalFormatting>
  <conditionalFormatting sqref="K116:K178">
    <cfRule type="colorScale" priority="9">
      <colorScale>
        <cfvo type="min"/>
        <cfvo type="percentile" val="50"/>
        <cfvo type="max"/>
        <color rgb="FFE06666"/>
        <color rgb="FFFFD666"/>
        <color rgb="FF6AA84F"/>
      </colorScale>
    </cfRule>
  </conditionalFormatting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5"/>
    <col customWidth="1" min="8" max="8" width="8.0"/>
    <col customWidth="1" min="9" max="9" width="22.13"/>
    <col customWidth="1" min="10" max="10" width="32.13"/>
    <col customWidth="1" min="11" max="11" width="17.13"/>
  </cols>
  <sheetData>
    <row r="1">
      <c r="A1" s="149"/>
      <c r="B1" s="150"/>
      <c r="C1" s="150"/>
      <c r="D1" s="150"/>
      <c r="E1" s="150"/>
      <c r="F1" s="150"/>
      <c r="G1" s="149"/>
    </row>
    <row r="2">
      <c r="A2" s="149"/>
      <c r="B2" s="150"/>
      <c r="C2" s="151" t="s">
        <v>904</v>
      </c>
      <c r="D2" s="152">
        <v>52.0</v>
      </c>
      <c r="E2" s="150"/>
      <c r="F2" s="153" t="s">
        <v>905</v>
      </c>
      <c r="G2" s="154">
        <v>600.0</v>
      </c>
    </row>
    <row r="3">
      <c r="A3" s="149"/>
      <c r="B3" s="150"/>
      <c r="C3" s="155" t="s">
        <v>906</v>
      </c>
      <c r="D3" s="156">
        <v>4.3</v>
      </c>
      <c r="E3" s="150"/>
      <c r="F3" s="150"/>
      <c r="G3" s="149"/>
    </row>
    <row r="4">
      <c r="A4" s="149"/>
      <c r="B4" s="150"/>
      <c r="C4" s="150"/>
      <c r="D4" s="150"/>
      <c r="E4" s="150"/>
      <c r="F4" s="150"/>
      <c r="G4" s="149"/>
    </row>
    <row r="5">
      <c r="A5" s="157" t="s">
        <v>907</v>
      </c>
      <c r="B5" s="150"/>
      <c r="C5" s="150"/>
      <c r="D5" s="158" t="s">
        <v>908</v>
      </c>
      <c r="E5" s="158" t="s">
        <v>909</v>
      </c>
      <c r="F5" s="158" t="s">
        <v>910</v>
      </c>
      <c r="H5" s="78" t="s">
        <v>911</v>
      </c>
      <c r="I5" s="78" t="s">
        <v>3</v>
      </c>
      <c r="J5" s="78" t="s">
        <v>912</v>
      </c>
      <c r="K5" s="78" t="s">
        <v>913</v>
      </c>
      <c r="L5" s="78" t="s">
        <v>81</v>
      </c>
    </row>
    <row r="6">
      <c r="A6" s="149"/>
      <c r="B6" s="159"/>
      <c r="C6" s="160" t="s">
        <v>914</v>
      </c>
      <c r="D6" s="161">
        <v>725.0</v>
      </c>
      <c r="E6" s="162">
        <f>D6*$D$3</f>
        <v>3117.5</v>
      </c>
      <c r="F6" s="163">
        <f t="shared" ref="F6:F8" si="1">E6*12</f>
        <v>37410</v>
      </c>
      <c r="H6" s="78">
        <f>Graficos!A1</f>
        <v>31</v>
      </c>
      <c r="I6" s="164" t="s">
        <v>915</v>
      </c>
      <c r="J6" s="164" t="s">
        <v>914</v>
      </c>
      <c r="K6" s="147">
        <f t="shared" ref="K6:K8" si="2">E6</f>
        <v>3117.5</v>
      </c>
      <c r="L6" s="147">
        <f t="shared" ref="L6:L33" si="3">K6/$H$6</f>
        <v>100.5645161</v>
      </c>
      <c r="N6" s="56" t="s">
        <v>126</v>
      </c>
    </row>
    <row r="7">
      <c r="A7" s="149"/>
      <c r="B7" s="165"/>
      <c r="C7" s="148" t="s">
        <v>7</v>
      </c>
      <c r="D7" s="166">
        <f t="shared" ref="D7:D8" si="4">E7/$D$3</f>
        <v>42.62790698</v>
      </c>
      <c r="E7" s="167">
        <v>183.3</v>
      </c>
      <c r="F7" s="168">
        <f t="shared" si="1"/>
        <v>2199.6</v>
      </c>
      <c r="H7" s="149"/>
      <c r="I7" s="164" t="s">
        <v>915</v>
      </c>
      <c r="J7" s="164" t="s">
        <v>7</v>
      </c>
      <c r="K7" s="147">
        <f t="shared" si="2"/>
        <v>183.3</v>
      </c>
      <c r="L7" s="147">
        <f t="shared" si="3"/>
        <v>5.912903226</v>
      </c>
      <c r="N7" s="56" t="s">
        <v>916</v>
      </c>
    </row>
    <row r="8">
      <c r="A8" s="149"/>
      <c r="B8" s="165"/>
      <c r="C8" s="148" t="s">
        <v>10</v>
      </c>
      <c r="D8" s="166">
        <f t="shared" si="4"/>
        <v>20.46511628</v>
      </c>
      <c r="E8" s="167">
        <v>88.0</v>
      </c>
      <c r="F8" s="168">
        <f t="shared" si="1"/>
        <v>1056</v>
      </c>
      <c r="H8" s="149"/>
      <c r="I8" s="164" t="s">
        <v>915</v>
      </c>
      <c r="J8" s="164" t="s">
        <v>10</v>
      </c>
      <c r="K8" s="169">
        <f t="shared" si="2"/>
        <v>88</v>
      </c>
      <c r="L8" s="147">
        <f t="shared" si="3"/>
        <v>2.838709677</v>
      </c>
      <c r="N8" s="56" t="s">
        <v>126</v>
      </c>
    </row>
    <row r="9">
      <c r="A9" s="149"/>
      <c r="B9" s="165"/>
      <c r="C9" s="150"/>
      <c r="D9" s="170"/>
      <c r="E9" s="170"/>
      <c r="F9" s="171"/>
      <c r="H9" s="149"/>
      <c r="I9" s="164" t="s">
        <v>917</v>
      </c>
      <c r="J9" s="164" t="s">
        <v>918</v>
      </c>
      <c r="K9" s="11">
        <f t="shared" ref="K9:K10" si="6">E12</f>
        <v>230</v>
      </c>
      <c r="L9" s="147">
        <f t="shared" si="3"/>
        <v>7.419354839</v>
      </c>
      <c r="N9" s="56" t="s">
        <v>126</v>
      </c>
    </row>
    <row r="10">
      <c r="A10" s="149"/>
      <c r="B10" s="172" t="s">
        <v>919</v>
      </c>
      <c r="C10" s="173" t="s">
        <v>914</v>
      </c>
      <c r="D10" s="174">
        <f t="shared" ref="D10:F10" si="5">SUM(D6:D9)</f>
        <v>788.0930233</v>
      </c>
      <c r="E10" s="174">
        <f t="shared" si="5"/>
        <v>3388.8</v>
      </c>
      <c r="F10" s="175">
        <f t="shared" si="5"/>
        <v>40665.6</v>
      </c>
      <c r="H10" s="149"/>
      <c r="I10" s="164" t="s">
        <v>917</v>
      </c>
      <c r="J10" s="164" t="s">
        <v>920</v>
      </c>
      <c r="K10" s="11">
        <f t="shared" si="6"/>
        <v>140</v>
      </c>
      <c r="L10" s="147">
        <f t="shared" si="3"/>
        <v>4.516129032</v>
      </c>
      <c r="N10" s="56" t="s">
        <v>126</v>
      </c>
    </row>
    <row r="11">
      <c r="A11" s="149"/>
      <c r="B11" s="176"/>
      <c r="C11" s="176"/>
      <c r="D11" s="176"/>
      <c r="E11" s="176"/>
      <c r="F11" s="176"/>
      <c r="H11" s="149"/>
      <c r="I11" s="177" t="s">
        <v>921</v>
      </c>
      <c r="J11" s="177" t="s">
        <v>28</v>
      </c>
      <c r="K11" s="178">
        <f t="shared" ref="K11:K13" si="7">E20</f>
        <v>129</v>
      </c>
      <c r="L11" s="147">
        <f t="shared" si="3"/>
        <v>4.161290323</v>
      </c>
      <c r="M11" s="179">
        <f>SUMIFS(Data!$B$2:$B$80,Data!$D$2:$D$80,$J$6:$J$32)</f>
        <v>156</v>
      </c>
      <c r="N11" s="56" t="s">
        <v>126</v>
      </c>
    </row>
    <row r="12">
      <c r="A12" s="149"/>
      <c r="B12" s="159"/>
      <c r="C12" s="160" t="s">
        <v>918</v>
      </c>
      <c r="D12" s="162">
        <f t="shared" ref="D12:D13" si="8">E12/$D$3</f>
        <v>53.48837209</v>
      </c>
      <c r="E12" s="180">
        <v>230.0</v>
      </c>
      <c r="F12" s="163">
        <f t="shared" ref="F12:F13" si="9">E12*12</f>
        <v>2760</v>
      </c>
      <c r="H12" s="149"/>
      <c r="I12" s="177" t="s">
        <v>921</v>
      </c>
      <c r="J12" s="177" t="s">
        <v>20</v>
      </c>
      <c r="K12" s="178">
        <f t="shared" si="7"/>
        <v>344</v>
      </c>
      <c r="L12" s="147">
        <f t="shared" si="3"/>
        <v>11.09677419</v>
      </c>
      <c r="M12" s="179">
        <f>SUMIFS(Data!$B$2:$B$80,Data!$D$2:$D$80,$J$6:$J$32)</f>
        <v>281</v>
      </c>
      <c r="N12" s="56" t="s">
        <v>126</v>
      </c>
    </row>
    <row r="13">
      <c r="A13" s="149"/>
      <c r="B13" s="165"/>
      <c r="C13" s="148" t="s">
        <v>920</v>
      </c>
      <c r="D13" s="166">
        <f t="shared" si="8"/>
        <v>32.55813953</v>
      </c>
      <c r="E13" s="181">
        <v>140.0</v>
      </c>
      <c r="F13" s="168">
        <f t="shared" si="9"/>
        <v>1680</v>
      </c>
      <c r="H13" s="149"/>
      <c r="I13" s="177" t="s">
        <v>921</v>
      </c>
      <c r="J13" s="177" t="s">
        <v>33</v>
      </c>
      <c r="K13" s="178">
        <f t="shared" si="7"/>
        <v>215</v>
      </c>
      <c r="L13" s="147">
        <f t="shared" si="3"/>
        <v>6.935483871</v>
      </c>
      <c r="M13" s="179">
        <f>SUMIFS(Data!$B$2:$B$80,Data!$D$2:$D$80,$J$6:$J$32)</f>
        <v>190</v>
      </c>
      <c r="N13" s="56" t="s">
        <v>126</v>
      </c>
    </row>
    <row r="14">
      <c r="A14" s="149"/>
      <c r="B14" s="165"/>
      <c r="C14" s="150"/>
      <c r="D14" s="150"/>
      <c r="E14" s="150"/>
      <c r="F14" s="182"/>
      <c r="H14" s="149"/>
      <c r="I14" s="177" t="s">
        <v>921</v>
      </c>
      <c r="J14" s="177" t="s">
        <v>24</v>
      </c>
      <c r="K14" s="178">
        <f>E26</f>
        <v>645</v>
      </c>
      <c r="L14" s="147">
        <f t="shared" si="3"/>
        <v>20.80645161</v>
      </c>
      <c r="M14" s="179">
        <f>SUMIFS(Data!$B$2:$B$80,Data!$D$2:$D$80,$J$6:$J$32)</f>
        <v>866</v>
      </c>
      <c r="N14" s="56" t="s">
        <v>126</v>
      </c>
    </row>
    <row r="15">
      <c r="A15" s="149"/>
      <c r="B15" s="172" t="s">
        <v>919</v>
      </c>
      <c r="C15" s="173" t="s">
        <v>907</v>
      </c>
      <c r="D15" s="174">
        <f t="shared" ref="D15:F15" si="10">SUM(D12:D14)</f>
        <v>86.04651163</v>
      </c>
      <c r="E15" s="174">
        <f t="shared" si="10"/>
        <v>370</v>
      </c>
      <c r="F15" s="175">
        <f t="shared" si="10"/>
        <v>4440</v>
      </c>
      <c r="H15" s="149"/>
      <c r="I15" s="183" t="s">
        <v>922</v>
      </c>
      <c r="J15" s="183" t="s">
        <v>86</v>
      </c>
      <c r="K15" s="178">
        <f>E25</f>
        <v>215</v>
      </c>
      <c r="L15" s="147">
        <f t="shared" si="3"/>
        <v>6.935483871</v>
      </c>
      <c r="M15" s="179">
        <f>SUMIFS(Data!$B$2:$B$80,Data!$D$2:$D$80,$J$6:$J$32)</f>
        <v>0</v>
      </c>
      <c r="N15" s="56" t="s">
        <v>126</v>
      </c>
    </row>
    <row r="16">
      <c r="A16" s="149"/>
      <c r="B16" s="176"/>
      <c r="C16" s="176"/>
      <c r="D16" s="176"/>
      <c r="E16" s="176"/>
      <c r="F16" s="176"/>
      <c r="H16" s="149"/>
      <c r="I16" s="183" t="s">
        <v>922</v>
      </c>
      <c r="J16" s="183" t="s">
        <v>42</v>
      </c>
      <c r="K16" s="178">
        <f>E29</f>
        <v>100</v>
      </c>
      <c r="L16" s="147">
        <f t="shared" si="3"/>
        <v>3.225806452</v>
      </c>
      <c r="M16" s="179">
        <f>SUMIFS(Data!$B$2:$B$80,Data!$D$2:$D$80,$J$6:$J$32)</f>
        <v>112</v>
      </c>
      <c r="N16" s="56" t="s">
        <v>126</v>
      </c>
    </row>
    <row r="17">
      <c r="A17" s="149"/>
      <c r="B17" s="184" t="s">
        <v>923</v>
      </c>
      <c r="C17" s="185" t="s">
        <v>907</v>
      </c>
      <c r="D17" s="186">
        <f t="shared" ref="D17:F17" si="11">D15+D10</f>
        <v>874.1395349</v>
      </c>
      <c r="E17" s="186">
        <f t="shared" si="11"/>
        <v>3758.8</v>
      </c>
      <c r="F17" s="186">
        <f t="shared" si="11"/>
        <v>45105.6</v>
      </c>
      <c r="H17" s="149"/>
      <c r="I17" s="183" t="s">
        <v>922</v>
      </c>
      <c r="J17" s="183" t="s">
        <v>924</v>
      </c>
      <c r="K17" s="178">
        <f>E24</f>
        <v>172</v>
      </c>
      <c r="L17" s="147">
        <f t="shared" si="3"/>
        <v>5.548387097</v>
      </c>
      <c r="M17" s="179">
        <f>SUMIFS(Data!$B$2:$B$80,Data!$D$2:$D$80,$J$6:$J$32)</f>
        <v>0</v>
      </c>
      <c r="N17" s="56" t="s">
        <v>126</v>
      </c>
    </row>
    <row r="18">
      <c r="A18" s="157" t="s">
        <v>925</v>
      </c>
      <c r="C18" s="150"/>
      <c r="D18" s="150"/>
      <c r="E18" s="150"/>
      <c r="F18" s="150"/>
      <c r="H18" s="149"/>
      <c r="I18" s="187" t="s">
        <v>926</v>
      </c>
      <c r="J18" s="187" t="s">
        <v>35</v>
      </c>
      <c r="K18" s="178">
        <f t="shared" ref="K18:K19" si="12">E30</f>
        <v>50</v>
      </c>
      <c r="L18" s="147">
        <f t="shared" si="3"/>
        <v>1.612903226</v>
      </c>
      <c r="M18" s="179">
        <f>SUMIFS(Data!$B$2:$B$80,Data!$D$2:$D$80,$J$6:$J$32)</f>
        <v>20</v>
      </c>
      <c r="N18" s="56" t="s">
        <v>126</v>
      </c>
    </row>
    <row r="19">
      <c r="A19" s="149"/>
      <c r="B19" s="150"/>
      <c r="C19" s="150"/>
      <c r="D19" s="150"/>
      <c r="E19" s="150"/>
      <c r="F19" s="150"/>
      <c r="H19" s="149"/>
      <c r="I19" s="187" t="s">
        <v>926</v>
      </c>
      <c r="J19" s="187" t="s">
        <v>927</v>
      </c>
      <c r="K19" s="178">
        <f t="shared" si="12"/>
        <v>120</v>
      </c>
      <c r="L19" s="147">
        <f t="shared" si="3"/>
        <v>3.870967742</v>
      </c>
      <c r="M19" s="179">
        <f>SUMIFS(Data!$B$2:$B$80,Data!$D$2:$D$80,$J$6:$J$32)</f>
        <v>0</v>
      </c>
      <c r="N19" s="56" t="s">
        <v>126</v>
      </c>
    </row>
    <row r="20">
      <c r="A20" s="149"/>
      <c r="B20" s="151" t="s">
        <v>85</v>
      </c>
      <c r="C20" s="160" t="s">
        <v>28</v>
      </c>
      <c r="D20" s="188">
        <v>30.0</v>
      </c>
      <c r="E20" s="160">
        <f t="shared" ref="E20:E22" si="13">D20*$D$3</f>
        <v>129</v>
      </c>
      <c r="F20" s="152">
        <f t="shared" ref="F20:F22" si="14">E20*12</f>
        <v>1548</v>
      </c>
      <c r="H20" s="149"/>
      <c r="I20" s="189" t="s">
        <v>928</v>
      </c>
      <c r="J20" s="189" t="s">
        <v>50</v>
      </c>
      <c r="K20" s="178">
        <f t="shared" ref="K20:K25" si="15">E36</f>
        <v>80</v>
      </c>
      <c r="L20" s="147">
        <f t="shared" si="3"/>
        <v>2.580645161</v>
      </c>
      <c r="M20" s="179">
        <f>SUMIFS(Data!$B$2:$B$80,Data!$D$2:$D$80,$J$6:$J$32)</f>
        <v>46</v>
      </c>
      <c r="N20" s="56" t="s">
        <v>126</v>
      </c>
    </row>
    <row r="21">
      <c r="A21" s="149"/>
      <c r="B21" s="165"/>
      <c r="C21" s="148" t="s">
        <v>20</v>
      </c>
      <c r="D21" s="190">
        <v>80.0</v>
      </c>
      <c r="E21" s="148">
        <f t="shared" si="13"/>
        <v>344</v>
      </c>
      <c r="F21" s="191">
        <f t="shared" si="14"/>
        <v>4128</v>
      </c>
      <c r="H21" s="149"/>
      <c r="I21" s="189" t="s">
        <v>928</v>
      </c>
      <c r="J21" s="189" t="s">
        <v>929</v>
      </c>
      <c r="K21" s="178">
        <f t="shared" si="15"/>
        <v>100</v>
      </c>
      <c r="L21" s="147">
        <f t="shared" si="3"/>
        <v>3.225806452</v>
      </c>
      <c r="M21" s="179">
        <f>SUMIFS(Data!$B$2:$B$80,Data!$D$2:$D$80,$J$6:$J$32)</f>
        <v>0</v>
      </c>
      <c r="N21" s="56" t="s">
        <v>126</v>
      </c>
    </row>
    <row r="22">
      <c r="A22" s="149"/>
      <c r="B22" s="165"/>
      <c r="C22" s="148" t="s">
        <v>33</v>
      </c>
      <c r="D22" s="190">
        <v>50.0</v>
      </c>
      <c r="E22" s="148">
        <f t="shared" si="13"/>
        <v>215</v>
      </c>
      <c r="F22" s="191">
        <f t="shared" si="14"/>
        <v>2580</v>
      </c>
      <c r="H22" s="149"/>
      <c r="I22" s="189" t="s">
        <v>928</v>
      </c>
      <c r="J22" s="189" t="s">
        <v>26</v>
      </c>
      <c r="K22" s="178">
        <f t="shared" si="15"/>
        <v>35</v>
      </c>
      <c r="L22" s="147">
        <f t="shared" si="3"/>
        <v>1.129032258</v>
      </c>
      <c r="M22" s="179">
        <f>SUMIFS(Data!$B$2:$B$80,Data!$D$2:$D$80,$J$6:$J$32)</f>
        <v>22</v>
      </c>
      <c r="N22" s="56" t="s">
        <v>126</v>
      </c>
    </row>
    <row r="23">
      <c r="A23" s="149"/>
      <c r="B23" s="165"/>
      <c r="C23" s="149"/>
      <c r="D23" s="192"/>
      <c r="E23" s="192"/>
      <c r="F23" s="193"/>
      <c r="H23" s="149"/>
      <c r="I23" s="189" t="s">
        <v>928</v>
      </c>
      <c r="J23" s="189" t="s">
        <v>92</v>
      </c>
      <c r="K23" s="147">
        <f t="shared" si="15"/>
        <v>50</v>
      </c>
      <c r="L23" s="147">
        <f t="shared" si="3"/>
        <v>1.612903226</v>
      </c>
      <c r="M23" s="179">
        <f>SUMIFS(Data!$B$2:$B$80,Data!$D$2:$D$80,$J$6:$J$32)</f>
        <v>0</v>
      </c>
      <c r="N23" s="56" t="s">
        <v>125</v>
      </c>
    </row>
    <row r="24">
      <c r="A24" s="149"/>
      <c r="B24" s="165"/>
      <c r="C24" s="148" t="s">
        <v>924</v>
      </c>
      <c r="D24" s="194">
        <v>40.0</v>
      </c>
      <c r="E24" s="148">
        <f t="shared" ref="E24:E26" si="16">D24*$D$3</f>
        <v>172</v>
      </c>
      <c r="F24" s="191">
        <f t="shared" ref="F24:F26" si="17">E24*12</f>
        <v>2064</v>
      </c>
      <c r="H24" s="149"/>
      <c r="I24" s="189" t="s">
        <v>928</v>
      </c>
      <c r="J24" s="189" t="s">
        <v>93</v>
      </c>
      <c r="K24" s="147">
        <f t="shared" si="15"/>
        <v>75</v>
      </c>
      <c r="L24" s="147">
        <f t="shared" si="3"/>
        <v>2.419354839</v>
      </c>
      <c r="M24" s="179">
        <f>SUMIFS(Data!$B$2:$B$80,Data!$D$2:$D$80,$J$6:$J$32)</f>
        <v>0</v>
      </c>
      <c r="N24" s="56" t="s">
        <v>930</v>
      </c>
    </row>
    <row r="25">
      <c r="A25" s="149"/>
      <c r="B25" s="165"/>
      <c r="C25" s="148" t="s">
        <v>86</v>
      </c>
      <c r="D25" s="194">
        <v>50.0</v>
      </c>
      <c r="E25" s="148">
        <f t="shared" si="16"/>
        <v>215</v>
      </c>
      <c r="F25" s="191">
        <f t="shared" si="17"/>
        <v>2580</v>
      </c>
      <c r="H25" s="149"/>
      <c r="I25" s="189" t="s">
        <v>928</v>
      </c>
      <c r="J25" s="189" t="s">
        <v>60</v>
      </c>
      <c r="K25" s="178">
        <f t="shared" si="15"/>
        <v>40</v>
      </c>
      <c r="L25" s="147">
        <f t="shared" si="3"/>
        <v>1.290322581</v>
      </c>
      <c r="M25" s="179">
        <f>SUMIFS(Data!$B$2:$B$80,Data!$D$2:$D$80,$J$6:$J$32)</f>
        <v>42</v>
      </c>
      <c r="N25" s="56" t="s">
        <v>126</v>
      </c>
    </row>
    <row r="26">
      <c r="A26" s="149"/>
      <c r="B26" s="165"/>
      <c r="C26" s="148" t="s">
        <v>24</v>
      </c>
      <c r="D26" s="190">
        <v>150.0</v>
      </c>
      <c r="E26" s="148">
        <f t="shared" si="16"/>
        <v>645</v>
      </c>
      <c r="F26" s="191">
        <f t="shared" si="17"/>
        <v>7740</v>
      </c>
      <c r="H26" s="149"/>
      <c r="I26" s="195" t="s">
        <v>931</v>
      </c>
      <c r="J26" s="195" t="s">
        <v>44</v>
      </c>
      <c r="K26" s="178">
        <f t="shared" ref="K26:K28" si="19">E44</f>
        <v>236.5</v>
      </c>
      <c r="L26" s="147">
        <f t="shared" si="3"/>
        <v>7.629032258</v>
      </c>
      <c r="M26" s="179">
        <f>SUMIFS(Data!$B$2:$B$80,Data!$D$2:$D$80,$J$6:$J$32)</f>
        <v>202</v>
      </c>
      <c r="N26" s="56" t="s">
        <v>126</v>
      </c>
    </row>
    <row r="27">
      <c r="A27" s="149"/>
      <c r="B27" s="172" t="s">
        <v>919</v>
      </c>
      <c r="C27" s="173" t="s">
        <v>932</v>
      </c>
      <c r="D27" s="174">
        <f t="shared" ref="D27:F27" si="18">SUM(D20:D26)</f>
        <v>400</v>
      </c>
      <c r="E27" s="174">
        <f t="shared" si="18"/>
        <v>1720</v>
      </c>
      <c r="F27" s="175">
        <f t="shared" si="18"/>
        <v>20640</v>
      </c>
      <c r="H27" s="149"/>
      <c r="I27" s="195" t="s">
        <v>931</v>
      </c>
      <c r="J27" s="195" t="s">
        <v>49</v>
      </c>
      <c r="K27" s="178">
        <f t="shared" si="19"/>
        <v>98.9</v>
      </c>
      <c r="L27" s="147">
        <f t="shared" si="3"/>
        <v>3.190322581</v>
      </c>
      <c r="M27" s="179">
        <f>SUMIFS(Data!$B$2:$B$80,Data!$D$2:$D$80,$J$6:$J$32)</f>
        <v>89</v>
      </c>
      <c r="N27" s="56" t="s">
        <v>126</v>
      </c>
    </row>
    <row r="28">
      <c r="A28" s="149"/>
      <c r="B28" s="150"/>
      <c r="C28" s="150"/>
      <c r="D28" s="150"/>
      <c r="E28" s="150"/>
      <c r="F28" s="150"/>
      <c r="H28" s="149"/>
      <c r="I28" s="195" t="s">
        <v>931</v>
      </c>
      <c r="J28" s="195" t="s">
        <v>933</v>
      </c>
      <c r="K28" s="178">
        <f t="shared" si="19"/>
        <v>120.4</v>
      </c>
      <c r="L28" s="147">
        <f t="shared" si="3"/>
        <v>3.883870968</v>
      </c>
      <c r="M28" s="179">
        <f>SUMIFS(Data!$B$2:$B$80,Data!$D$2:$D$80,$J$6:$J$32)</f>
        <v>0</v>
      </c>
      <c r="N28" s="56" t="s">
        <v>126</v>
      </c>
    </row>
    <row r="29">
      <c r="A29" s="149"/>
      <c r="B29" s="159"/>
      <c r="C29" s="160" t="s">
        <v>41</v>
      </c>
      <c r="D29" s="162">
        <f t="shared" ref="D29:D31" si="20">E29/$D$3</f>
        <v>23.25581395</v>
      </c>
      <c r="E29" s="180">
        <v>100.0</v>
      </c>
      <c r="F29" s="152">
        <f t="shared" ref="F29:F31" si="21">E29*12</f>
        <v>1200</v>
      </c>
      <c r="H29" s="149"/>
      <c r="I29" s="78" t="s">
        <v>934</v>
      </c>
      <c r="J29" s="78" t="s">
        <v>9</v>
      </c>
      <c r="K29" s="178">
        <f t="shared" ref="K29:K33" si="22">E50</f>
        <v>150</v>
      </c>
      <c r="L29" s="147">
        <f t="shared" si="3"/>
        <v>4.838709677</v>
      </c>
      <c r="M29" s="179">
        <f>SUMIFS(Data!$B$2:$B$80,Data!$D$2:$D$80,$J$6:$J$32)</f>
        <v>388.67</v>
      </c>
      <c r="N29" s="56" t="s">
        <v>126</v>
      </c>
    </row>
    <row r="30">
      <c r="A30" s="149"/>
      <c r="B30" s="165"/>
      <c r="C30" s="148" t="s">
        <v>935</v>
      </c>
      <c r="D30" s="166">
        <f t="shared" si="20"/>
        <v>11.62790698</v>
      </c>
      <c r="E30" s="190">
        <v>50.0</v>
      </c>
      <c r="F30" s="191">
        <f t="shared" si="21"/>
        <v>600</v>
      </c>
      <c r="H30" s="149"/>
      <c r="I30" s="78" t="s">
        <v>934</v>
      </c>
      <c r="J30" s="78" t="s">
        <v>936</v>
      </c>
      <c r="K30" s="178">
        <f t="shared" si="22"/>
        <v>129</v>
      </c>
      <c r="L30" s="147">
        <f t="shared" si="3"/>
        <v>4.161290323</v>
      </c>
      <c r="M30" s="179">
        <f>SUMIFS(Data!$B$2:$B$80,Data!$D$2:$D$80,$J$6:$J$32)</f>
        <v>0</v>
      </c>
      <c r="N30" s="56" t="s">
        <v>126</v>
      </c>
    </row>
    <row r="31">
      <c r="A31" s="149"/>
      <c r="B31" s="165"/>
      <c r="C31" s="148" t="s">
        <v>927</v>
      </c>
      <c r="D31" s="166">
        <f t="shared" si="20"/>
        <v>27.90697674</v>
      </c>
      <c r="E31" s="190">
        <v>120.0</v>
      </c>
      <c r="F31" s="191">
        <f t="shared" si="21"/>
        <v>1440</v>
      </c>
      <c r="H31" s="149"/>
      <c r="I31" s="78" t="s">
        <v>934</v>
      </c>
      <c r="J31" s="16" t="s">
        <v>16</v>
      </c>
      <c r="K31" s="178">
        <f t="shared" si="22"/>
        <v>86</v>
      </c>
      <c r="L31" s="147">
        <f t="shared" si="3"/>
        <v>2.774193548</v>
      </c>
      <c r="M31" s="179">
        <f>SUMIFS(Data!$B$2:$B$80,Data!$D$2:$D$80,$J$6:$J$32)</f>
        <v>178</v>
      </c>
      <c r="N31" s="56" t="s">
        <v>126</v>
      </c>
    </row>
    <row r="32">
      <c r="A32" s="149"/>
      <c r="B32" s="165"/>
      <c r="C32" s="150"/>
      <c r="D32" s="150"/>
      <c r="E32" s="150"/>
      <c r="F32" s="182"/>
      <c r="H32" s="149"/>
      <c r="I32" s="78" t="s">
        <v>934</v>
      </c>
      <c r="J32" s="16" t="s">
        <v>18</v>
      </c>
      <c r="K32" s="11" t="str">
        <f t="shared" si="22"/>
        <v/>
      </c>
      <c r="L32" s="147">
        <f t="shared" si="3"/>
        <v>0</v>
      </c>
      <c r="M32" s="179">
        <f>SUMIFS(Data!$B$2:$B$80,Data!$D$2:$D$80,$J$6:$J$32)</f>
        <v>91</v>
      </c>
      <c r="N32" s="56" t="s">
        <v>126</v>
      </c>
    </row>
    <row r="33">
      <c r="A33" s="149"/>
      <c r="B33" s="165"/>
      <c r="C33" s="150"/>
      <c r="D33" s="150"/>
      <c r="E33" s="150"/>
      <c r="F33" s="182"/>
      <c r="G33" s="149"/>
      <c r="I33" s="78" t="s">
        <v>934</v>
      </c>
      <c r="J33" s="78" t="s">
        <v>94</v>
      </c>
      <c r="K33" s="147">
        <f t="shared" si="22"/>
        <v>250</v>
      </c>
      <c r="L33" s="147">
        <f t="shared" si="3"/>
        <v>8.064516129</v>
      </c>
      <c r="M33" s="179">
        <f>SUMIFS(Data!$B$2:$B$80,Data!$D$2:$D$80,$J$6:$J$32)</f>
        <v>0</v>
      </c>
      <c r="N33" s="56" t="s">
        <v>125</v>
      </c>
    </row>
    <row r="34">
      <c r="A34" s="149"/>
      <c r="B34" s="172" t="s">
        <v>919</v>
      </c>
      <c r="C34" s="173" t="s">
        <v>924</v>
      </c>
      <c r="D34" s="174">
        <f t="shared" ref="D34:F34" si="23">sum(D29:D33)</f>
        <v>62.79069767</v>
      </c>
      <c r="E34" s="174">
        <f t="shared" si="23"/>
        <v>270</v>
      </c>
      <c r="F34" s="175">
        <f t="shared" si="23"/>
        <v>3240</v>
      </c>
      <c r="G34" s="149"/>
      <c r="I34" s="78"/>
      <c r="J34" s="78" t="s">
        <v>47</v>
      </c>
    </row>
    <row r="35">
      <c r="A35" s="149"/>
      <c r="B35" s="150"/>
      <c r="C35" s="150"/>
      <c r="D35" s="150"/>
      <c r="E35" s="150"/>
      <c r="F35" s="150"/>
      <c r="G35" s="149"/>
    </row>
    <row r="36">
      <c r="A36" s="149"/>
      <c r="B36" s="159"/>
      <c r="C36" s="160" t="s">
        <v>50</v>
      </c>
      <c r="D36" s="162">
        <f t="shared" ref="D36:D41" si="24">E36/$D$3</f>
        <v>18.60465116</v>
      </c>
      <c r="E36" s="180">
        <v>80.0</v>
      </c>
      <c r="F36" s="152">
        <f t="shared" ref="F36:F38" si="25">E36*12</f>
        <v>960</v>
      </c>
      <c r="G36" s="149"/>
      <c r="I36" s="56" t="s">
        <v>937</v>
      </c>
      <c r="K36" s="147">
        <f>SUM(K6:K33)</f>
        <v>7199.6</v>
      </c>
    </row>
    <row r="37">
      <c r="A37" s="149"/>
      <c r="B37" s="165"/>
      <c r="C37" s="148" t="s">
        <v>938</v>
      </c>
      <c r="D37" s="166">
        <f t="shared" si="24"/>
        <v>23.25581395</v>
      </c>
      <c r="E37" s="181">
        <v>100.0</v>
      </c>
      <c r="F37" s="191">
        <f t="shared" si="25"/>
        <v>1200</v>
      </c>
      <c r="G37" s="149"/>
      <c r="I37" s="56" t="s">
        <v>939</v>
      </c>
      <c r="K37" s="147">
        <f>SUM(K25:K31,K11:K22,K8)</f>
        <v>3153.8</v>
      </c>
    </row>
    <row r="38">
      <c r="A38" s="149"/>
      <c r="B38" s="165"/>
      <c r="C38" s="148" t="s">
        <v>940</v>
      </c>
      <c r="D38" s="166">
        <f t="shared" si="24"/>
        <v>8.139534884</v>
      </c>
      <c r="E38" s="190">
        <v>35.0</v>
      </c>
      <c r="F38" s="191">
        <f t="shared" si="25"/>
        <v>420</v>
      </c>
      <c r="G38" s="149"/>
    </row>
    <row r="39">
      <c r="A39" s="149"/>
      <c r="B39" s="165"/>
      <c r="C39" s="148" t="s">
        <v>92</v>
      </c>
      <c r="D39" s="166">
        <f t="shared" si="24"/>
        <v>11.62790698</v>
      </c>
      <c r="E39" s="166">
        <f t="shared" ref="E39:E40" si="26">F39/12</f>
        <v>50</v>
      </c>
      <c r="F39" s="196">
        <v>600.0</v>
      </c>
      <c r="G39" s="149"/>
    </row>
    <row r="40">
      <c r="A40" s="149"/>
      <c r="B40" s="165"/>
      <c r="C40" s="148" t="s">
        <v>93</v>
      </c>
      <c r="D40" s="166">
        <f t="shared" si="24"/>
        <v>17.44186047</v>
      </c>
      <c r="E40" s="166">
        <f t="shared" si="26"/>
        <v>75</v>
      </c>
      <c r="F40" s="197">
        <v>900.0</v>
      </c>
      <c r="G40" s="149"/>
    </row>
    <row r="41">
      <c r="A41" s="149"/>
      <c r="B41" s="165"/>
      <c r="C41" s="148" t="s">
        <v>941</v>
      </c>
      <c r="D41" s="166">
        <f t="shared" si="24"/>
        <v>9.302325581</v>
      </c>
      <c r="E41" s="190">
        <v>40.0</v>
      </c>
      <c r="F41" s="191">
        <f>E41*12</f>
        <v>480</v>
      </c>
      <c r="G41" s="149"/>
    </row>
    <row r="42">
      <c r="A42" s="149"/>
      <c r="B42" s="172" t="s">
        <v>919</v>
      </c>
      <c r="C42" s="173" t="s">
        <v>88</v>
      </c>
      <c r="D42" s="174">
        <f t="shared" ref="D42:F42" si="27">sum(D36:D41)</f>
        <v>88.37209302</v>
      </c>
      <c r="E42" s="174">
        <f t="shared" si="27"/>
        <v>380</v>
      </c>
      <c r="F42" s="175">
        <f t="shared" si="27"/>
        <v>4560</v>
      </c>
      <c r="G42" s="149"/>
    </row>
    <row r="43">
      <c r="A43" s="149"/>
      <c r="B43" s="150"/>
      <c r="C43" s="150"/>
      <c r="D43" s="150"/>
      <c r="E43" s="150"/>
      <c r="F43" s="150"/>
      <c r="G43" s="149"/>
    </row>
    <row r="44">
      <c r="A44" s="149"/>
      <c r="B44" s="151" t="s">
        <v>942</v>
      </c>
      <c r="C44" s="160" t="s">
        <v>943</v>
      </c>
      <c r="D44" s="180">
        <v>55.0</v>
      </c>
      <c r="E44" s="160">
        <f t="shared" ref="E44:E46" si="28">D44*$D$3</f>
        <v>236.5</v>
      </c>
      <c r="F44" s="152">
        <f t="shared" ref="F44:F46" si="29">E44*12</f>
        <v>2838</v>
      </c>
      <c r="G44" s="149"/>
    </row>
    <row r="45">
      <c r="A45" s="149"/>
      <c r="B45" s="165"/>
      <c r="C45" s="148" t="s">
        <v>944</v>
      </c>
      <c r="D45" s="181">
        <v>23.0</v>
      </c>
      <c r="E45" s="148">
        <f t="shared" si="28"/>
        <v>98.9</v>
      </c>
      <c r="F45" s="191">
        <f t="shared" si="29"/>
        <v>1186.8</v>
      </c>
      <c r="G45" s="149"/>
    </row>
    <row r="46">
      <c r="A46" s="149"/>
      <c r="B46" s="165"/>
      <c r="C46" s="148" t="s">
        <v>945</v>
      </c>
      <c r="D46" s="198">
        <v>28.0</v>
      </c>
      <c r="E46" s="148">
        <f t="shared" si="28"/>
        <v>120.4</v>
      </c>
      <c r="F46" s="191">
        <f t="shared" si="29"/>
        <v>1444.8</v>
      </c>
      <c r="G46" s="149"/>
    </row>
    <row r="47">
      <c r="A47" s="149"/>
      <c r="B47" s="165"/>
      <c r="C47" s="150"/>
      <c r="D47" s="150"/>
      <c r="E47" s="150"/>
      <c r="F47" s="182"/>
      <c r="G47" s="149"/>
    </row>
    <row r="48">
      <c r="A48" s="149"/>
      <c r="B48" s="172" t="s">
        <v>919</v>
      </c>
      <c r="C48" s="173" t="s">
        <v>942</v>
      </c>
      <c r="D48" s="174">
        <f t="shared" ref="D48:F48" si="30">sum(D44:D47)</f>
        <v>106</v>
      </c>
      <c r="E48" s="174">
        <f t="shared" si="30"/>
        <v>455.8</v>
      </c>
      <c r="F48" s="175">
        <f t="shared" si="30"/>
        <v>5469.6</v>
      </c>
      <c r="G48" s="149"/>
    </row>
    <row r="49">
      <c r="A49" s="149"/>
      <c r="B49" s="150"/>
      <c r="C49" s="150"/>
      <c r="D49" s="150"/>
      <c r="E49" s="150"/>
      <c r="F49" s="150"/>
      <c r="G49" s="149"/>
    </row>
    <row r="50">
      <c r="A50" s="149"/>
      <c r="B50" s="151" t="s">
        <v>946</v>
      </c>
      <c r="C50" s="136" t="s">
        <v>9</v>
      </c>
      <c r="D50" s="199">
        <f>E50/$D$3</f>
        <v>34.88372093</v>
      </c>
      <c r="E50" s="194">
        <v>150.0</v>
      </c>
      <c r="F50" s="152">
        <f t="shared" ref="F50:F52" si="31">E50*12</f>
        <v>1800</v>
      </c>
      <c r="G50" s="149"/>
    </row>
    <row r="51">
      <c r="A51" s="149"/>
      <c r="B51" s="165"/>
      <c r="C51" s="78" t="s">
        <v>936</v>
      </c>
      <c r="D51" s="190">
        <v>30.0</v>
      </c>
      <c r="E51" s="148">
        <f t="shared" ref="E51:E52" si="32">D51*$D$3</f>
        <v>129</v>
      </c>
      <c r="F51" s="191">
        <f t="shared" si="31"/>
        <v>1548</v>
      </c>
      <c r="G51" s="149"/>
    </row>
    <row r="52">
      <c r="A52" s="149"/>
      <c r="B52" s="165"/>
      <c r="C52" s="78" t="s">
        <v>947</v>
      </c>
      <c r="D52" s="190">
        <v>20.0</v>
      </c>
      <c r="E52" s="148">
        <f t="shared" si="32"/>
        <v>86</v>
      </c>
      <c r="F52" s="191">
        <f t="shared" si="31"/>
        <v>1032</v>
      </c>
      <c r="G52" s="149"/>
    </row>
    <row r="53">
      <c r="A53" s="149"/>
      <c r="B53" s="165"/>
      <c r="C53" s="78" t="s">
        <v>948</v>
      </c>
      <c r="D53" s="150"/>
      <c r="E53" s="150"/>
      <c r="F53" s="182"/>
      <c r="G53" s="149"/>
    </row>
    <row r="54">
      <c r="A54" s="149"/>
      <c r="B54" s="200"/>
      <c r="C54" s="78" t="s">
        <v>94</v>
      </c>
      <c r="D54" s="166">
        <f>E54/$D$3</f>
        <v>58.13953488</v>
      </c>
      <c r="E54" s="166">
        <f>F54/12</f>
        <v>250</v>
      </c>
      <c r="F54" s="197">
        <v>3000.0</v>
      </c>
      <c r="G54" s="149"/>
    </row>
    <row r="55">
      <c r="A55" s="149"/>
      <c r="B55" s="172" t="s">
        <v>919</v>
      </c>
      <c r="C55" s="173" t="s">
        <v>946</v>
      </c>
      <c r="D55" s="174">
        <f t="shared" ref="D55:F55" si="33">sum(D50:D54)</f>
        <v>143.0232558</v>
      </c>
      <c r="E55" s="174">
        <f t="shared" si="33"/>
        <v>615</v>
      </c>
      <c r="F55" s="174">
        <f t="shared" si="33"/>
        <v>7380</v>
      </c>
      <c r="G55" s="149"/>
    </row>
    <row r="56">
      <c r="A56" s="149"/>
      <c r="B56" s="150"/>
      <c r="C56" s="150"/>
      <c r="D56" s="150"/>
      <c r="E56" s="150"/>
      <c r="F56" s="150"/>
      <c r="G56" s="149"/>
    </row>
    <row r="57">
      <c r="A57" s="149"/>
      <c r="B57" s="150"/>
      <c r="C57" s="201" t="s">
        <v>130</v>
      </c>
      <c r="D57" s="202">
        <f t="shared" ref="D57:F57" si="34">D55+D48+D42+D34+D27+D17</f>
        <v>1674.325581</v>
      </c>
      <c r="E57" s="202">
        <f t="shared" si="34"/>
        <v>7199.6</v>
      </c>
      <c r="F57" s="202">
        <f t="shared" si="34"/>
        <v>86395.2</v>
      </c>
      <c r="G57" s="149"/>
    </row>
    <row r="58">
      <c r="A58" s="149"/>
      <c r="B58" s="150"/>
      <c r="C58" s="148" t="s">
        <v>949</v>
      </c>
      <c r="D58" s="203">
        <f t="shared" ref="D58:F58" si="35">D57*$G$2</f>
        <v>1004595.349</v>
      </c>
      <c r="E58" s="203">
        <f t="shared" si="35"/>
        <v>4319760</v>
      </c>
      <c r="F58" s="203">
        <f t="shared" si="35"/>
        <v>51837120</v>
      </c>
      <c r="G58" s="149"/>
    </row>
    <row r="59">
      <c r="A59" s="149"/>
      <c r="B59" s="150"/>
      <c r="C59" s="150"/>
      <c r="D59" s="150"/>
      <c r="E59" s="150"/>
      <c r="F59" s="150"/>
      <c r="G59" s="149"/>
    </row>
    <row r="60">
      <c r="A60" s="149"/>
      <c r="B60" s="150"/>
      <c r="C60" s="150"/>
      <c r="D60" s="150"/>
      <c r="E60" s="150"/>
      <c r="F60" s="150"/>
      <c r="G60" s="149"/>
    </row>
    <row r="61">
      <c r="A61" s="149"/>
      <c r="B61" s="148" t="s">
        <v>949</v>
      </c>
      <c r="C61" s="148" t="s">
        <v>950</v>
      </c>
      <c r="D61" s="204">
        <v>576923.0</v>
      </c>
      <c r="E61" s="204">
        <v>2500000.0</v>
      </c>
      <c r="F61" s="204">
        <v>3.0E7</v>
      </c>
      <c r="G61" s="149"/>
    </row>
    <row r="62">
      <c r="A62" s="149"/>
      <c r="B62" s="148" t="s">
        <v>951</v>
      </c>
      <c r="C62" s="148" t="s">
        <v>950</v>
      </c>
      <c r="D62" s="204">
        <f t="shared" ref="D62:F62" si="36">D61/$G$2</f>
        <v>961.5383333</v>
      </c>
      <c r="E62" s="204">
        <f t="shared" si="36"/>
        <v>4166.666667</v>
      </c>
      <c r="F62" s="204">
        <f t="shared" si="36"/>
        <v>50000</v>
      </c>
      <c r="G62" s="149"/>
    </row>
    <row r="63">
      <c r="A63" s="149"/>
      <c r="B63" s="150"/>
      <c r="C63" s="150"/>
      <c r="D63" s="150"/>
      <c r="E63" s="150"/>
      <c r="F63" s="150"/>
      <c r="G63" s="149"/>
    </row>
    <row r="64">
      <c r="A64" s="149"/>
      <c r="B64" s="150"/>
      <c r="C64" s="205" t="s">
        <v>952</v>
      </c>
      <c r="D64" s="206">
        <f t="shared" ref="D64:F64" si="37">D62+D57</f>
        <v>2635.863915</v>
      </c>
      <c r="E64" s="206">
        <f t="shared" si="37"/>
        <v>11366.26667</v>
      </c>
      <c r="F64" s="206">
        <f t="shared" si="37"/>
        <v>136395.2</v>
      </c>
      <c r="G64" s="149"/>
    </row>
    <row r="65">
      <c r="A65" s="149"/>
      <c r="B65" s="207" t="s">
        <v>949</v>
      </c>
      <c r="C65" s="150"/>
      <c r="D65" s="208">
        <f t="shared" ref="D65:F65" si="38">D64*$G$2</f>
        <v>1581518.349</v>
      </c>
      <c r="E65" s="208">
        <f t="shared" si="38"/>
        <v>6819760</v>
      </c>
      <c r="F65" s="208">
        <f t="shared" si="38"/>
        <v>81837120</v>
      </c>
      <c r="G65" s="149"/>
    </row>
    <row r="66">
      <c r="A66" s="149"/>
      <c r="B66" s="149"/>
      <c r="C66" s="149"/>
      <c r="D66" s="150"/>
      <c r="E66" s="150"/>
      <c r="F66" s="149"/>
      <c r="G66" s="149"/>
    </row>
    <row r="67">
      <c r="A67" s="149"/>
      <c r="B67" s="149"/>
      <c r="C67" s="151" t="s">
        <v>953</v>
      </c>
      <c r="D67" s="209"/>
      <c r="E67" s="209"/>
      <c r="F67" s="210"/>
      <c r="G67" s="149"/>
    </row>
    <row r="68">
      <c r="A68" s="149"/>
      <c r="B68" s="149"/>
      <c r="C68" s="211" t="s">
        <v>954</v>
      </c>
      <c r="D68" s="204">
        <f>E68/$D$3</f>
        <v>2500</v>
      </c>
      <c r="E68" s="212">
        <v>10750.0</v>
      </c>
      <c r="F68" s="213">
        <f>E68*12</f>
        <v>129000</v>
      </c>
      <c r="G68" s="149"/>
    </row>
    <row r="69">
      <c r="A69" s="149"/>
      <c r="B69" s="149"/>
      <c r="C69" s="214" t="s">
        <v>130</v>
      </c>
      <c r="D69" s="174">
        <f t="shared" ref="D69:F69" si="39">D68+D67</f>
        <v>2500</v>
      </c>
      <c r="E69" s="174">
        <f t="shared" si="39"/>
        <v>10750</v>
      </c>
      <c r="F69" s="174">
        <f t="shared" si="39"/>
        <v>129000</v>
      </c>
      <c r="G69" s="149"/>
    </row>
    <row r="70">
      <c r="A70" s="149"/>
      <c r="B70" s="207" t="s">
        <v>949</v>
      </c>
      <c r="C70" s="150"/>
      <c r="D70" s="208">
        <f t="shared" ref="D70:F70" si="40">D69*$G$2</f>
        <v>1500000</v>
      </c>
      <c r="E70" s="208">
        <f t="shared" si="40"/>
        <v>6450000</v>
      </c>
      <c r="F70" s="208">
        <f t="shared" si="40"/>
        <v>77400000</v>
      </c>
      <c r="G70" s="149"/>
    </row>
    <row r="71">
      <c r="A71" s="149"/>
      <c r="B71" s="149"/>
      <c r="C71" s="215" t="s">
        <v>955</v>
      </c>
      <c r="D71" s="206">
        <f t="shared" ref="D71:F71" si="41">D69-D64</f>
        <v>-135.8639147</v>
      </c>
      <c r="E71" s="206">
        <f t="shared" si="41"/>
        <v>-616.2666667</v>
      </c>
      <c r="F71" s="186">
        <f t="shared" si="41"/>
        <v>-7395.2</v>
      </c>
      <c r="G71" s="149"/>
    </row>
    <row r="72">
      <c r="A72" s="149"/>
      <c r="B72" s="207" t="s">
        <v>949</v>
      </c>
      <c r="C72" s="150"/>
      <c r="D72" s="208">
        <f t="shared" ref="D72:F72" si="42">D71*$G$2</f>
        <v>-81518.34884</v>
      </c>
      <c r="E72" s="208">
        <f t="shared" si="42"/>
        <v>-369760</v>
      </c>
      <c r="F72" s="208">
        <f t="shared" si="42"/>
        <v>-4437120</v>
      </c>
      <c r="G72" s="149"/>
    </row>
    <row r="73">
      <c r="A73" s="149"/>
      <c r="B73" s="149"/>
      <c r="C73" s="149"/>
      <c r="D73" s="150"/>
      <c r="E73" s="150"/>
      <c r="F73" s="149"/>
      <c r="G73" s="149"/>
    </row>
  </sheetData>
  <mergeCells count="1">
    <mergeCell ref="A18:B1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2.13"/>
    <col customWidth="1" min="3" max="3" width="28.13"/>
    <col customWidth="1" min="4" max="4" width="4.5"/>
    <col customWidth="1" min="5" max="34" width="5.63"/>
    <col customWidth="1" min="35" max="35" width="8.13"/>
    <col customWidth="1" min="37" max="37" width="19.25"/>
    <col customWidth="1" min="38" max="38" width="13.88"/>
    <col hidden="1" min="42" max="47" width="12.63"/>
  </cols>
  <sheetData>
    <row r="1"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>
      <c r="C2" s="16" t="s">
        <v>81</v>
      </c>
      <c r="D2" s="16">
        <v>1.0</v>
      </c>
      <c r="E2" s="216">
        <f t="shared" ref="E2:AH2" si="1">D2+1</f>
        <v>2</v>
      </c>
      <c r="F2" s="216">
        <f t="shared" si="1"/>
        <v>3</v>
      </c>
      <c r="G2" s="216">
        <f t="shared" si="1"/>
        <v>4</v>
      </c>
      <c r="H2" s="216">
        <f t="shared" si="1"/>
        <v>5</v>
      </c>
      <c r="I2" s="216">
        <f t="shared" si="1"/>
        <v>6</v>
      </c>
      <c r="J2" s="216">
        <f t="shared" si="1"/>
        <v>7</v>
      </c>
      <c r="K2" s="216">
        <f t="shared" si="1"/>
        <v>8</v>
      </c>
      <c r="L2" s="216">
        <f t="shared" si="1"/>
        <v>9</v>
      </c>
      <c r="M2" s="216">
        <f t="shared" si="1"/>
        <v>10</v>
      </c>
      <c r="N2" s="216">
        <f t="shared" si="1"/>
        <v>11</v>
      </c>
      <c r="O2" s="216">
        <f t="shared" si="1"/>
        <v>12</v>
      </c>
      <c r="P2" s="216">
        <f t="shared" si="1"/>
        <v>13</v>
      </c>
      <c r="Q2" s="216">
        <f t="shared" si="1"/>
        <v>14</v>
      </c>
      <c r="R2" s="216">
        <f t="shared" si="1"/>
        <v>15</v>
      </c>
      <c r="S2" s="216">
        <f t="shared" si="1"/>
        <v>16</v>
      </c>
      <c r="T2" s="216">
        <f t="shared" si="1"/>
        <v>17</v>
      </c>
      <c r="U2" s="216">
        <f t="shared" si="1"/>
        <v>18</v>
      </c>
      <c r="V2" s="216">
        <f t="shared" si="1"/>
        <v>19</v>
      </c>
      <c r="W2" s="216">
        <f t="shared" si="1"/>
        <v>20</v>
      </c>
      <c r="X2" s="216">
        <f t="shared" si="1"/>
        <v>21</v>
      </c>
      <c r="Y2" s="216">
        <f t="shared" si="1"/>
        <v>22</v>
      </c>
      <c r="Z2" s="216">
        <f t="shared" si="1"/>
        <v>23</v>
      </c>
      <c r="AA2" s="216">
        <f t="shared" si="1"/>
        <v>24</v>
      </c>
      <c r="AB2" s="216">
        <f t="shared" si="1"/>
        <v>25</v>
      </c>
      <c r="AC2" s="216">
        <f t="shared" si="1"/>
        <v>26</v>
      </c>
      <c r="AD2" s="216">
        <f t="shared" si="1"/>
        <v>27</v>
      </c>
      <c r="AE2" s="216">
        <f t="shared" si="1"/>
        <v>28</v>
      </c>
      <c r="AF2" s="216">
        <f t="shared" si="1"/>
        <v>29</v>
      </c>
      <c r="AG2" s="216">
        <f t="shared" si="1"/>
        <v>30</v>
      </c>
      <c r="AH2" s="216">
        <f t="shared" si="1"/>
        <v>31</v>
      </c>
      <c r="AI2" s="15" t="s">
        <v>956</v>
      </c>
    </row>
    <row r="3">
      <c r="A3" s="217" t="s">
        <v>957</v>
      </c>
      <c r="B3" s="16" t="s">
        <v>3</v>
      </c>
      <c r="C3" s="16" t="s">
        <v>912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4">
      <c r="A4" s="72"/>
      <c r="B4" s="16" t="s">
        <v>915</v>
      </c>
      <c r="C4" s="16" t="s">
        <v>7</v>
      </c>
      <c r="D4" s="39">
        <f>SUMIFS(Data!$B$2:$B$100,Data!$A$2:$A$100,D$2,Data!$D$2:$D$100,$C4)</f>
        <v>0</v>
      </c>
      <c r="E4" s="39">
        <f>SUMIFS(Data!$B$2:$B$100,Data!$A$2:$A$100,E$2,Data!$D$2:$D$100,$C4)</f>
        <v>0</v>
      </c>
      <c r="F4" s="39">
        <f>SUMIFS(Data!$B$2:$B$100,Data!$A$2:$A$100,F$2,Data!$D$2:$D$100,$C4)</f>
        <v>0</v>
      </c>
      <c r="G4" s="39">
        <f>SUMIFS(Data!$B$2:$B$100,Data!$A$2:$A$100,G$2,Data!$D$2:$D$100,$C4)</f>
        <v>0</v>
      </c>
      <c r="H4" s="39">
        <f>SUMIFS(Data!$B$2:$B$100,Data!$A$2:$A$100,H$2,Data!$D$2:$D$100,$C4)</f>
        <v>0</v>
      </c>
      <c r="I4" s="39">
        <f>SUMIFS(Data!$B$2:$B$100,Data!$A$2:$A$100,I$2,Data!$D$2:$D$100,$C4)</f>
        <v>0</v>
      </c>
      <c r="J4" s="39">
        <f>SUMIFS(Data!$B$2:$B$100,Data!$A$2:$A$100,J$2,Data!$D$2:$D$100,$C4)</f>
        <v>0</v>
      </c>
      <c r="K4" s="39">
        <f>SUMIFS(Data!$B$2:$B$100,Data!$A$2:$A$100,K$2,Data!$D$2:$D$100,$C4)</f>
        <v>0</v>
      </c>
      <c r="L4" s="39">
        <f>SUMIFS(Data!$B$2:$B$100,Data!$A$2:$A$100,L$2,Data!$D$2:$D$100,$C4)</f>
        <v>0</v>
      </c>
      <c r="M4" s="39">
        <f>SUMIFS(Data!$B$2:$B$100,Data!$A$2:$A$100,M$2,Data!$D$2:$D$100,$C4)</f>
        <v>0</v>
      </c>
      <c r="N4" s="39">
        <f>SUMIFS(Data!$B$2:$B$100,Data!$A$2:$A$100,N$2,Data!$D$2:$D$100,$C4)</f>
        <v>0</v>
      </c>
      <c r="O4" s="39">
        <f>SUMIFS(Data!$B$2:$B$100,Data!$A$2:$A$100,O$2,Data!$D$2:$D$100,$C4)</f>
        <v>0</v>
      </c>
      <c r="P4" s="39">
        <f>SUMIFS(Data!$B$2:$B$100,Data!$A$2:$A$100,P$2,Data!$D$2:$D$100,$C4)</f>
        <v>0</v>
      </c>
      <c r="Q4" s="39">
        <f>SUMIFS(Data!$B$2:$B$100,Data!$A$2:$A$100,Q$2,Data!$D$2:$D$100,$C4)</f>
        <v>0</v>
      </c>
      <c r="R4" s="39">
        <f>SUMIFS(Data!$B$2:$B$100,Data!$A$2:$A$100,R$2,Data!$D$2:$D$100,$C4)</f>
        <v>0</v>
      </c>
      <c r="S4" s="39">
        <f>SUMIFS(Data!$B$2:$B$100,Data!$A$2:$A$100,S$2,Data!$D$2:$D$100,$C4)</f>
        <v>0</v>
      </c>
      <c r="T4" s="39">
        <f>SUMIFS(Data!$B$2:$B$100,Data!$A$2:$A$100,T$2,Data!$D$2:$D$100,$C4)</f>
        <v>0</v>
      </c>
      <c r="U4" s="39">
        <f>SUMIFS(Data!$B$2:$B$100,Data!$A$2:$A$100,U$2,Data!$D$2:$D$100,$C4)</f>
        <v>0</v>
      </c>
      <c r="V4" s="39">
        <f>SUMIFS(Data!$B$2:$B$100,Data!$A$2:$A$100,V$2,Data!$D$2:$D$100,$C4)</f>
        <v>0</v>
      </c>
      <c r="W4" s="39">
        <f>SUMIFS(Data!$B$2:$B$100,Data!$A$2:$A$100,W$2,Data!$D$2:$D$100,$C4)</f>
        <v>0</v>
      </c>
      <c r="X4" s="39">
        <f>SUMIFS(Data!$B$2:$B$100,Data!$A$2:$A$100,X$2,Data!$D$2:$D$100,$C4)</f>
        <v>0</v>
      </c>
      <c r="Y4" s="39">
        <f>SUMIFS(Data!$B$2:$B$100,Data!$A$2:$A$100,Y$2,Data!$D$2:$D$100,$C4)</f>
        <v>0</v>
      </c>
      <c r="Z4" s="39">
        <f>SUMIFS(Data!$B$2:$B$100,Data!$A$2:$A$100,Z$2,Data!$D$2:$D$100,$C4)</f>
        <v>0</v>
      </c>
      <c r="AA4" s="39">
        <f>SUMIFS(Data!$B$2:$B$100,Data!$A$2:$A$100,AA$2,Data!$D$2:$D$100,$C4)</f>
        <v>0</v>
      </c>
      <c r="AB4" s="39">
        <f>SUMIFS(Data!$B$2:$B$100,Data!$A$2:$A$100,AB$2,Data!$D$2:$D$100,$C4)</f>
        <v>0</v>
      </c>
      <c r="AC4" s="39">
        <f>SUMIFS(Data!$B$2:$B$100,Data!$A$2:$A$100,AC$2,Data!$D$2:$D$100,$C4)</f>
        <v>0</v>
      </c>
      <c r="AD4" s="39">
        <f>SUMIFS(Data!$B$2:$B$100,Data!$A$2:$A$100,AD$2,Data!$D$2:$D$100,$C4)</f>
        <v>0</v>
      </c>
      <c r="AE4" s="39">
        <f>SUMIFS(Data!$B$2:$B$100,Data!$A$2:$A$100,AE$2,Data!$D$2:$D$100,$C4)</f>
        <v>0</v>
      </c>
      <c r="AF4" s="39">
        <f>SUMIFS(Data!$B$2:$B$100,Data!$A$2:$A$100,AF$2,Data!$D$2:$D$100,$C4)</f>
        <v>0</v>
      </c>
      <c r="AG4" s="39">
        <f>SUMIFS(Data!$B$2:$B$100,Data!$A$2:$A$100,AG$2,Data!$D$2:$D$100,$C4)</f>
        <v>0</v>
      </c>
      <c r="AH4" s="39">
        <f>SUMIFS(Data!$B$2:$B$100,Data!$A$2:$A$100,AH$2,Data!$D$2:$D$100,$C4)</f>
        <v>0</v>
      </c>
      <c r="AI4" s="218">
        <f t="shared" ref="AI4:AI27" si="2">SUM(D4:AH4)</f>
        <v>0</v>
      </c>
    </row>
    <row r="5">
      <c r="A5" s="72"/>
      <c r="B5" s="16" t="s">
        <v>915</v>
      </c>
      <c r="C5" s="16" t="s">
        <v>10</v>
      </c>
      <c r="D5" s="39">
        <f>SUMIFS(Data!$B$2:$B$100,Data!$A$2:$A$100,D$2,Data!$D$2:$D$100,$C5)</f>
        <v>95</v>
      </c>
      <c r="E5" s="39">
        <f>SUMIFS(Data!$B$2:$B$100,Data!$A$2:$A$100,E$2,Data!$D$2:$D$100,$C5)</f>
        <v>0</v>
      </c>
      <c r="F5" s="39">
        <f>SUMIFS(Data!$B$2:$B$100,Data!$A$2:$A$100,F$2,Data!$D$2:$D$100,$C5)</f>
        <v>0</v>
      </c>
      <c r="G5" s="39">
        <f>SUMIFS(Data!$B$2:$B$100,Data!$A$2:$A$100,G$2,Data!$D$2:$D$100,$C5)</f>
        <v>0</v>
      </c>
      <c r="H5" s="39">
        <f>SUMIFS(Data!$B$2:$B$100,Data!$A$2:$A$100,H$2,Data!$D$2:$D$100,$C5)</f>
        <v>0</v>
      </c>
      <c r="I5" s="39">
        <f>SUMIFS(Data!$B$2:$B$100,Data!$A$2:$A$100,I$2,Data!$D$2:$D$100,$C5)</f>
        <v>0</v>
      </c>
      <c r="J5" s="39">
        <f>SUMIFS(Data!$B$2:$B$100,Data!$A$2:$A$100,J$2,Data!$D$2:$D$100,$C5)</f>
        <v>0</v>
      </c>
      <c r="K5" s="39">
        <f>SUMIFS(Data!$B$2:$B$100,Data!$A$2:$A$100,K$2,Data!$D$2:$D$100,$C5)</f>
        <v>0</v>
      </c>
      <c r="L5" s="39">
        <f>SUMIFS(Data!$B$2:$B$100,Data!$A$2:$A$100,L$2,Data!$D$2:$D$100,$C5)</f>
        <v>0</v>
      </c>
      <c r="M5" s="39">
        <f>SUMIFS(Data!$B$2:$B$100,Data!$A$2:$A$100,M$2,Data!$D$2:$D$100,$C5)</f>
        <v>0</v>
      </c>
      <c r="N5" s="39">
        <f>SUMIFS(Data!$B$2:$B$100,Data!$A$2:$A$100,N$2,Data!$D$2:$D$100,$C5)</f>
        <v>0</v>
      </c>
      <c r="O5" s="39">
        <f>SUMIFS(Data!$B$2:$B$100,Data!$A$2:$A$100,O$2,Data!$D$2:$D$100,$C5)</f>
        <v>0</v>
      </c>
      <c r="P5" s="39">
        <f>SUMIFS(Data!$B$2:$B$100,Data!$A$2:$A$100,P$2,Data!$D$2:$D$100,$C5)</f>
        <v>0</v>
      </c>
      <c r="Q5" s="39">
        <f>SUMIFS(Data!$B$2:$B$100,Data!$A$2:$A$100,Q$2,Data!$D$2:$D$100,$C5)</f>
        <v>0</v>
      </c>
      <c r="R5" s="39">
        <f>SUMIFS(Data!$B$2:$B$100,Data!$A$2:$A$100,R$2,Data!$D$2:$D$100,$C5)</f>
        <v>0</v>
      </c>
      <c r="S5" s="39">
        <f>SUMIFS(Data!$B$2:$B$100,Data!$A$2:$A$100,S$2,Data!$D$2:$D$100,$C5)</f>
        <v>0</v>
      </c>
      <c r="T5" s="39">
        <f>SUMIFS(Data!$B$2:$B$100,Data!$A$2:$A$100,T$2,Data!$D$2:$D$100,$C5)</f>
        <v>0</v>
      </c>
      <c r="U5" s="39">
        <f>SUMIFS(Data!$B$2:$B$100,Data!$A$2:$A$100,U$2,Data!$D$2:$D$100,$C5)</f>
        <v>0</v>
      </c>
      <c r="V5" s="39">
        <f>SUMIFS(Data!$B$2:$B$100,Data!$A$2:$A$100,V$2,Data!$D$2:$D$100,$C5)</f>
        <v>0</v>
      </c>
      <c r="W5" s="39">
        <f>SUMIFS(Data!$B$2:$B$100,Data!$A$2:$A$100,W$2,Data!$D$2:$D$100,$C5)</f>
        <v>0</v>
      </c>
      <c r="X5" s="39">
        <f>SUMIFS(Data!$B$2:$B$100,Data!$A$2:$A$100,X$2,Data!$D$2:$D$100,$C5)</f>
        <v>0</v>
      </c>
      <c r="Y5" s="39">
        <f>SUMIFS(Data!$B$2:$B$100,Data!$A$2:$A$100,Y$2,Data!$D$2:$D$100,$C5)</f>
        <v>0</v>
      </c>
      <c r="Z5" s="39">
        <f>SUMIFS(Data!$B$2:$B$100,Data!$A$2:$A$100,Z$2,Data!$D$2:$D$100,$C5)</f>
        <v>0</v>
      </c>
      <c r="AA5" s="39">
        <f>SUMIFS(Data!$B$2:$B$100,Data!$A$2:$A$100,AA$2,Data!$D$2:$D$100,$C5)</f>
        <v>0</v>
      </c>
      <c r="AB5" s="39">
        <f>SUMIFS(Data!$B$2:$B$100,Data!$A$2:$A$100,AB$2,Data!$D$2:$D$100,$C5)</f>
        <v>0</v>
      </c>
      <c r="AC5" s="39">
        <f>SUMIFS(Data!$B$2:$B$100,Data!$A$2:$A$100,AC$2,Data!$D$2:$D$100,$C5)</f>
        <v>0</v>
      </c>
      <c r="AD5" s="39">
        <f>SUMIFS(Data!$B$2:$B$100,Data!$A$2:$A$100,AD$2,Data!$D$2:$D$100,$C5)</f>
        <v>0</v>
      </c>
      <c r="AE5" s="39">
        <f>SUMIFS(Data!$B$2:$B$100,Data!$A$2:$A$100,AE$2,Data!$D$2:$D$100,$C5)</f>
        <v>0</v>
      </c>
      <c r="AF5" s="39">
        <f>SUMIFS(Data!$B$2:$B$100,Data!$A$2:$A$100,AF$2,Data!$D$2:$D$100,$C5)</f>
        <v>0</v>
      </c>
      <c r="AG5" s="39">
        <f>SUMIFS(Data!$B$2:$B$100,Data!$A$2:$A$100,AG$2,Data!$D$2:$D$100,$C5)</f>
        <v>0</v>
      </c>
      <c r="AH5" s="39">
        <f>SUMIFS(Data!$B$2:$B$100,Data!$A$2:$A$100,AH$2,Data!$D$2:$D$100,$C5)</f>
        <v>0</v>
      </c>
      <c r="AI5" s="218">
        <f t="shared" si="2"/>
        <v>95</v>
      </c>
    </row>
    <row r="6">
      <c r="A6" s="72"/>
      <c r="B6" s="16" t="s">
        <v>921</v>
      </c>
      <c r="C6" s="177" t="s">
        <v>28</v>
      </c>
      <c r="D6" s="39">
        <f>SUMIFS(Data!$B$2:$B$100,Data!$A$2:$A$100,D$2,Data!$D$2:$D$100,$C6)</f>
        <v>11</v>
      </c>
      <c r="E6" s="39">
        <f>SUMIFS(Data!$B$2:$B$100,Data!$A$2:$A$100,E$2,Data!$D$2:$D$100,$C6)</f>
        <v>0</v>
      </c>
      <c r="F6" s="39">
        <f>SUMIFS(Data!$B$2:$B$100,Data!$A$2:$A$100,F$2,Data!$D$2:$D$100,$C6)</f>
        <v>22</v>
      </c>
      <c r="G6" s="39">
        <f>SUMIFS(Data!$B$2:$B$100,Data!$A$2:$A$100,G$2,Data!$D$2:$D$100,$C6)</f>
        <v>0</v>
      </c>
      <c r="H6" s="39">
        <f>SUMIFS(Data!$B$2:$B$100,Data!$A$2:$A$100,H$2,Data!$D$2:$D$100,$C6)</f>
        <v>0</v>
      </c>
      <c r="I6" s="39">
        <f>SUMIFS(Data!$B$2:$B$100,Data!$A$2:$A$100,I$2,Data!$D$2:$D$100,$C6)</f>
        <v>0</v>
      </c>
      <c r="J6" s="39">
        <f>SUMIFS(Data!$B$2:$B$100,Data!$A$2:$A$100,J$2,Data!$D$2:$D$100,$C6)</f>
        <v>0</v>
      </c>
      <c r="K6" s="39">
        <f>SUMIFS(Data!$B$2:$B$100,Data!$A$2:$A$100,K$2,Data!$D$2:$D$100,$C6)</f>
        <v>0</v>
      </c>
      <c r="L6" s="39">
        <f>SUMIFS(Data!$B$2:$B$100,Data!$A$2:$A$100,L$2,Data!$D$2:$D$100,$C6)</f>
        <v>44</v>
      </c>
      <c r="M6" s="39">
        <f>SUMIFS(Data!$B$2:$B$100,Data!$A$2:$A$100,M$2,Data!$D$2:$D$100,$C6)</f>
        <v>0</v>
      </c>
      <c r="N6" s="39">
        <f>SUMIFS(Data!$B$2:$B$100,Data!$A$2:$A$100,N$2,Data!$D$2:$D$100,$C6)</f>
        <v>0</v>
      </c>
      <c r="O6" s="39">
        <f>SUMIFS(Data!$B$2:$B$100,Data!$A$2:$A$100,O$2,Data!$D$2:$D$100,$C6)</f>
        <v>0</v>
      </c>
      <c r="P6" s="39">
        <f>SUMIFS(Data!$B$2:$B$100,Data!$A$2:$A$100,P$2,Data!$D$2:$D$100,$C6)</f>
        <v>0</v>
      </c>
      <c r="Q6" s="39">
        <f>SUMIFS(Data!$B$2:$B$100,Data!$A$2:$A$100,Q$2,Data!$D$2:$D$100,$C6)</f>
        <v>0</v>
      </c>
      <c r="R6" s="39">
        <f>SUMIFS(Data!$B$2:$B$100,Data!$A$2:$A$100,R$2,Data!$D$2:$D$100,$C6)</f>
        <v>0</v>
      </c>
      <c r="S6" s="39">
        <f>SUMIFS(Data!$B$2:$B$100,Data!$A$2:$A$100,S$2,Data!$D$2:$D$100,$C6)</f>
        <v>0</v>
      </c>
      <c r="T6" s="39">
        <f>SUMIFS(Data!$B$2:$B$100,Data!$A$2:$A$100,T$2,Data!$D$2:$D$100,$C6)</f>
        <v>22</v>
      </c>
      <c r="U6" s="39">
        <f>SUMIFS(Data!$B$2:$B$100,Data!$A$2:$A$100,U$2,Data!$D$2:$D$100,$C6)</f>
        <v>13</v>
      </c>
      <c r="V6" s="39">
        <f>SUMIFS(Data!$B$2:$B$100,Data!$A$2:$A$100,V$2,Data!$D$2:$D$100,$C6)</f>
        <v>0</v>
      </c>
      <c r="W6" s="39">
        <f>SUMIFS(Data!$B$2:$B$100,Data!$A$2:$A$100,W$2,Data!$D$2:$D$100,$C6)</f>
        <v>0</v>
      </c>
      <c r="X6" s="39">
        <f>SUMIFS(Data!$B$2:$B$100,Data!$A$2:$A$100,X$2,Data!$D$2:$D$100,$C6)</f>
        <v>0</v>
      </c>
      <c r="Y6" s="39">
        <f>SUMIFS(Data!$B$2:$B$100,Data!$A$2:$A$100,Y$2,Data!$D$2:$D$100,$C6)</f>
        <v>0</v>
      </c>
      <c r="Z6" s="39">
        <f>SUMIFS(Data!$B$2:$B$100,Data!$A$2:$A$100,Z$2,Data!$D$2:$D$100,$C6)</f>
        <v>0</v>
      </c>
      <c r="AA6" s="39">
        <f>SUMIFS(Data!$B$2:$B$100,Data!$A$2:$A$100,AA$2,Data!$D$2:$D$100,$C6)</f>
        <v>22</v>
      </c>
      <c r="AB6" s="39">
        <f>SUMIFS(Data!$B$2:$B$100,Data!$A$2:$A$100,AB$2,Data!$D$2:$D$100,$C6)</f>
        <v>13</v>
      </c>
      <c r="AC6" s="39">
        <f>SUMIFS(Data!$B$2:$B$100,Data!$A$2:$A$100,AC$2,Data!$D$2:$D$100,$C6)</f>
        <v>0</v>
      </c>
      <c r="AD6" s="39">
        <f>SUMIFS(Data!$B$2:$B$100,Data!$A$2:$A$100,AD$2,Data!$D$2:$D$100,$C6)</f>
        <v>9</v>
      </c>
      <c r="AE6" s="39">
        <f>SUMIFS(Data!$B$2:$B$100,Data!$A$2:$A$100,AE$2,Data!$D$2:$D$100,$C6)</f>
        <v>0</v>
      </c>
      <c r="AF6" s="39">
        <f>SUMIFS(Data!$B$2:$B$100,Data!$A$2:$A$100,AF$2,Data!$D$2:$D$100,$C6)</f>
        <v>0</v>
      </c>
      <c r="AG6" s="39">
        <f>SUMIFS(Data!$B$2:$B$100,Data!$A$2:$A$100,AG$2,Data!$D$2:$D$100,$C6)</f>
        <v>0</v>
      </c>
      <c r="AH6" s="39">
        <f>SUMIFS(Data!$B$2:$B$100,Data!$A$2:$A$100,AH$2,Data!$D$2:$D$100,$C6)</f>
        <v>0</v>
      </c>
      <c r="AI6" s="218">
        <f t="shared" si="2"/>
        <v>156</v>
      </c>
    </row>
    <row r="7">
      <c r="A7" s="72"/>
      <c r="B7" s="16" t="s">
        <v>921</v>
      </c>
      <c r="C7" s="177" t="s">
        <v>20</v>
      </c>
      <c r="D7" s="39">
        <f>SUMIFS(Data!$B$2:$B$100,Data!$A$2:$A$100,D$2,Data!$D$2:$D$100,$C7)</f>
        <v>0</v>
      </c>
      <c r="E7" s="39">
        <f>SUMIFS(Data!$B$2:$B$100,Data!$A$2:$A$100,E$2,Data!$D$2:$D$100,$C7)</f>
        <v>39</v>
      </c>
      <c r="F7" s="39">
        <f>SUMIFS(Data!$B$2:$B$100,Data!$A$2:$A$100,F$2,Data!$D$2:$D$100,$C7)</f>
        <v>0</v>
      </c>
      <c r="G7" s="39">
        <f>SUMIFS(Data!$B$2:$B$100,Data!$A$2:$A$100,G$2,Data!$D$2:$D$100,$C7)</f>
        <v>85</v>
      </c>
      <c r="H7" s="39">
        <f>SUMIFS(Data!$B$2:$B$100,Data!$A$2:$A$100,H$2,Data!$D$2:$D$100,$C7)</f>
        <v>0</v>
      </c>
      <c r="I7" s="39">
        <f>SUMIFS(Data!$B$2:$B$100,Data!$A$2:$A$100,I$2,Data!$D$2:$D$100,$C7)</f>
        <v>0</v>
      </c>
      <c r="J7" s="39">
        <f>SUMIFS(Data!$B$2:$B$100,Data!$A$2:$A$100,J$2,Data!$D$2:$D$100,$C7)</f>
        <v>0</v>
      </c>
      <c r="K7" s="39">
        <f>SUMIFS(Data!$B$2:$B$100,Data!$A$2:$A$100,K$2,Data!$D$2:$D$100,$C7)</f>
        <v>0</v>
      </c>
      <c r="L7" s="39">
        <f>SUMIFS(Data!$B$2:$B$100,Data!$A$2:$A$100,L$2,Data!$D$2:$D$100,$C7)</f>
        <v>0</v>
      </c>
      <c r="M7" s="39">
        <f>SUMIFS(Data!$B$2:$B$100,Data!$A$2:$A$100,M$2,Data!$D$2:$D$100,$C7)</f>
        <v>0</v>
      </c>
      <c r="N7" s="39">
        <f>SUMIFS(Data!$B$2:$B$100,Data!$A$2:$A$100,N$2,Data!$D$2:$D$100,$C7)</f>
        <v>0</v>
      </c>
      <c r="O7" s="39">
        <f>SUMIFS(Data!$B$2:$B$100,Data!$A$2:$A$100,O$2,Data!$D$2:$D$100,$C7)</f>
        <v>0</v>
      </c>
      <c r="P7" s="39">
        <f>SUMIFS(Data!$B$2:$B$100,Data!$A$2:$A$100,P$2,Data!$D$2:$D$100,$C7)</f>
        <v>0</v>
      </c>
      <c r="Q7" s="39">
        <f>SUMIFS(Data!$B$2:$B$100,Data!$A$2:$A$100,Q$2,Data!$D$2:$D$100,$C7)</f>
        <v>0</v>
      </c>
      <c r="R7" s="39">
        <f>SUMIFS(Data!$B$2:$B$100,Data!$A$2:$A$100,R$2,Data!$D$2:$D$100,$C7)</f>
        <v>0</v>
      </c>
      <c r="S7" s="39">
        <f>SUMIFS(Data!$B$2:$B$100,Data!$A$2:$A$100,S$2,Data!$D$2:$D$100,$C7)</f>
        <v>14</v>
      </c>
      <c r="T7" s="39">
        <f>SUMIFS(Data!$B$2:$B$100,Data!$A$2:$A$100,T$2,Data!$D$2:$D$100,$C7)</f>
        <v>48</v>
      </c>
      <c r="U7" s="39">
        <f>SUMIFS(Data!$B$2:$B$100,Data!$A$2:$A$100,U$2,Data!$D$2:$D$100,$C7)</f>
        <v>0</v>
      </c>
      <c r="V7" s="39">
        <f>SUMIFS(Data!$B$2:$B$100,Data!$A$2:$A$100,V$2,Data!$D$2:$D$100,$C7)</f>
        <v>0</v>
      </c>
      <c r="W7" s="39">
        <f>SUMIFS(Data!$B$2:$B$100,Data!$A$2:$A$100,W$2,Data!$D$2:$D$100,$C7)</f>
        <v>0</v>
      </c>
      <c r="X7" s="39">
        <f>SUMIFS(Data!$B$2:$B$100,Data!$A$2:$A$100,X$2,Data!$D$2:$D$100,$C7)</f>
        <v>0</v>
      </c>
      <c r="Y7" s="39">
        <f>SUMIFS(Data!$B$2:$B$100,Data!$A$2:$A$100,Y$2,Data!$D$2:$D$100,$C7)</f>
        <v>30</v>
      </c>
      <c r="Z7" s="39">
        <f>SUMIFS(Data!$B$2:$B$100,Data!$A$2:$A$100,Z$2,Data!$D$2:$D$100,$C7)</f>
        <v>0</v>
      </c>
      <c r="AA7" s="39">
        <f>SUMIFS(Data!$B$2:$B$100,Data!$A$2:$A$100,AA$2,Data!$D$2:$D$100,$C7)</f>
        <v>0</v>
      </c>
      <c r="AB7" s="39">
        <f>SUMIFS(Data!$B$2:$B$100,Data!$A$2:$A$100,AB$2,Data!$D$2:$D$100,$C7)</f>
        <v>31</v>
      </c>
      <c r="AC7" s="39">
        <f>SUMIFS(Data!$B$2:$B$100,Data!$A$2:$A$100,AC$2,Data!$D$2:$D$100,$C7)</f>
        <v>0</v>
      </c>
      <c r="AD7" s="39">
        <f>SUMIFS(Data!$B$2:$B$100,Data!$A$2:$A$100,AD$2,Data!$D$2:$D$100,$C7)</f>
        <v>0</v>
      </c>
      <c r="AE7" s="39">
        <f>SUMIFS(Data!$B$2:$B$100,Data!$A$2:$A$100,AE$2,Data!$D$2:$D$100,$C7)</f>
        <v>0</v>
      </c>
      <c r="AF7" s="39">
        <f>SUMIFS(Data!$B$2:$B$100,Data!$A$2:$A$100,AF$2,Data!$D$2:$D$100,$C7)</f>
        <v>34</v>
      </c>
      <c r="AG7" s="39">
        <f>SUMIFS(Data!$B$2:$B$100,Data!$A$2:$A$100,AG$2,Data!$D$2:$D$100,$C7)</f>
        <v>0</v>
      </c>
      <c r="AH7" s="39">
        <f>SUMIFS(Data!$B$2:$B$100,Data!$A$2:$A$100,AH$2,Data!$D$2:$D$100,$C7)</f>
        <v>0</v>
      </c>
      <c r="AI7" s="218">
        <f t="shared" si="2"/>
        <v>281</v>
      </c>
    </row>
    <row r="8">
      <c r="A8" s="72"/>
      <c r="B8" s="16" t="s">
        <v>921</v>
      </c>
      <c r="C8" s="177" t="s">
        <v>33</v>
      </c>
      <c r="D8" s="39">
        <f>SUMIFS(Data!$B$2:$B$100,Data!$A$2:$A$100,D$2,Data!$D$2:$D$100,$C8)</f>
        <v>0</v>
      </c>
      <c r="E8" s="39">
        <f>SUMIFS(Data!$B$2:$B$100,Data!$A$2:$A$100,E$2,Data!$D$2:$D$100,$C8)</f>
        <v>0</v>
      </c>
      <c r="F8" s="39">
        <f>SUMIFS(Data!$B$2:$B$100,Data!$A$2:$A$100,F$2,Data!$D$2:$D$100,$C8)</f>
        <v>0</v>
      </c>
      <c r="G8" s="39">
        <f>SUMIFS(Data!$B$2:$B$100,Data!$A$2:$A$100,G$2,Data!$D$2:$D$100,$C8)</f>
        <v>0</v>
      </c>
      <c r="H8" s="39">
        <f>SUMIFS(Data!$B$2:$B$100,Data!$A$2:$A$100,H$2,Data!$D$2:$D$100,$C8)</f>
        <v>24</v>
      </c>
      <c r="I8" s="39">
        <f>SUMIFS(Data!$B$2:$B$100,Data!$A$2:$A$100,I$2,Data!$D$2:$D$100,$C8)</f>
        <v>0</v>
      </c>
      <c r="J8" s="39">
        <f>SUMIFS(Data!$B$2:$B$100,Data!$A$2:$A$100,J$2,Data!$D$2:$D$100,$C8)</f>
        <v>16</v>
      </c>
      <c r="K8" s="39">
        <f>SUMIFS(Data!$B$2:$B$100,Data!$A$2:$A$100,K$2,Data!$D$2:$D$100,$C8)</f>
        <v>0</v>
      </c>
      <c r="L8" s="39">
        <f>SUMIFS(Data!$B$2:$B$100,Data!$A$2:$A$100,L$2,Data!$D$2:$D$100,$C8)</f>
        <v>0</v>
      </c>
      <c r="M8" s="39">
        <f>SUMIFS(Data!$B$2:$B$100,Data!$A$2:$A$100,M$2,Data!$D$2:$D$100,$C8)</f>
        <v>0</v>
      </c>
      <c r="N8" s="39">
        <f>SUMIFS(Data!$B$2:$B$100,Data!$A$2:$A$100,N$2,Data!$D$2:$D$100,$C8)</f>
        <v>0</v>
      </c>
      <c r="O8" s="39">
        <f>SUMIFS(Data!$B$2:$B$100,Data!$A$2:$A$100,O$2,Data!$D$2:$D$100,$C8)</f>
        <v>0</v>
      </c>
      <c r="P8" s="39">
        <f>SUMIFS(Data!$B$2:$B$100,Data!$A$2:$A$100,P$2,Data!$D$2:$D$100,$C8)</f>
        <v>0</v>
      </c>
      <c r="Q8" s="39">
        <f>SUMIFS(Data!$B$2:$B$100,Data!$A$2:$A$100,Q$2,Data!$D$2:$D$100,$C8)</f>
        <v>16</v>
      </c>
      <c r="R8" s="39">
        <f>SUMIFS(Data!$B$2:$B$100,Data!$A$2:$A$100,R$2,Data!$D$2:$D$100,$C8)</f>
        <v>0</v>
      </c>
      <c r="S8" s="39">
        <f>SUMIFS(Data!$B$2:$B$100,Data!$A$2:$A$100,S$2,Data!$D$2:$D$100,$C8)</f>
        <v>12</v>
      </c>
      <c r="T8" s="39">
        <f>SUMIFS(Data!$B$2:$B$100,Data!$A$2:$A$100,T$2,Data!$D$2:$D$100,$C8)</f>
        <v>0</v>
      </c>
      <c r="U8" s="39">
        <f>SUMIFS(Data!$B$2:$B$100,Data!$A$2:$A$100,U$2,Data!$D$2:$D$100,$C8)</f>
        <v>0</v>
      </c>
      <c r="V8" s="39">
        <f>SUMIFS(Data!$B$2:$B$100,Data!$A$2:$A$100,V$2,Data!$D$2:$D$100,$C8)</f>
        <v>0</v>
      </c>
      <c r="W8" s="39">
        <f>SUMIFS(Data!$B$2:$B$100,Data!$A$2:$A$100,W$2,Data!$D$2:$D$100,$C8)</f>
        <v>0</v>
      </c>
      <c r="X8" s="39">
        <f>SUMIFS(Data!$B$2:$B$100,Data!$A$2:$A$100,X$2,Data!$D$2:$D$100,$C8)</f>
        <v>16</v>
      </c>
      <c r="Y8" s="39">
        <f>SUMIFS(Data!$B$2:$B$100,Data!$A$2:$A$100,Y$2,Data!$D$2:$D$100,$C8)</f>
        <v>0</v>
      </c>
      <c r="Z8" s="39">
        <f>SUMIFS(Data!$B$2:$B$100,Data!$A$2:$A$100,Z$2,Data!$D$2:$D$100,$C8)</f>
        <v>0</v>
      </c>
      <c r="AA8" s="39">
        <f>SUMIFS(Data!$B$2:$B$100,Data!$A$2:$A$100,AA$2,Data!$D$2:$D$100,$C8)</f>
        <v>76</v>
      </c>
      <c r="AB8" s="39">
        <f>SUMIFS(Data!$B$2:$B$100,Data!$A$2:$A$100,AB$2,Data!$D$2:$D$100,$C8)</f>
        <v>0</v>
      </c>
      <c r="AC8" s="39">
        <f>SUMIFS(Data!$B$2:$B$100,Data!$A$2:$A$100,AC$2,Data!$D$2:$D$100,$C8)</f>
        <v>0</v>
      </c>
      <c r="AD8" s="39">
        <f>SUMIFS(Data!$B$2:$B$100,Data!$A$2:$A$100,AD$2,Data!$D$2:$D$100,$C8)</f>
        <v>0</v>
      </c>
      <c r="AE8" s="39">
        <f>SUMIFS(Data!$B$2:$B$100,Data!$A$2:$A$100,AE$2,Data!$D$2:$D$100,$C8)</f>
        <v>16</v>
      </c>
      <c r="AF8" s="39">
        <f>SUMIFS(Data!$B$2:$B$100,Data!$A$2:$A$100,AF$2,Data!$D$2:$D$100,$C8)</f>
        <v>14</v>
      </c>
      <c r="AG8" s="39">
        <f>SUMIFS(Data!$B$2:$B$100,Data!$A$2:$A$100,AG$2,Data!$D$2:$D$100,$C8)</f>
        <v>0</v>
      </c>
      <c r="AH8" s="39">
        <f>SUMIFS(Data!$B$2:$B$100,Data!$A$2:$A$100,AH$2,Data!$D$2:$D$100,$C8)</f>
        <v>0</v>
      </c>
      <c r="AI8" s="218">
        <f t="shared" si="2"/>
        <v>190</v>
      </c>
    </row>
    <row r="9">
      <c r="A9" s="72"/>
      <c r="B9" s="16" t="s">
        <v>921</v>
      </c>
      <c r="C9" s="177" t="s">
        <v>24</v>
      </c>
      <c r="D9" s="39">
        <f>SUMIFS(Data!$B$2:$B$100,Data!$A$2:$A$100,D$2,Data!$D$2:$D$100,$C9)</f>
        <v>0</v>
      </c>
      <c r="E9" s="39">
        <f>SUMIFS(Data!$B$2:$B$100,Data!$A$2:$A$100,E$2,Data!$D$2:$D$100,$C9)</f>
        <v>110</v>
      </c>
      <c r="F9" s="39">
        <f>SUMIFS(Data!$B$2:$B$100,Data!$A$2:$A$100,F$2,Data!$D$2:$D$100,$C9)</f>
        <v>0</v>
      </c>
      <c r="G9" s="39">
        <f>SUMIFS(Data!$B$2:$B$100,Data!$A$2:$A$100,G$2,Data!$D$2:$D$100,$C9)</f>
        <v>0</v>
      </c>
      <c r="H9" s="39">
        <f>SUMIFS(Data!$B$2:$B$100,Data!$A$2:$A$100,H$2,Data!$D$2:$D$100,$C9)</f>
        <v>0</v>
      </c>
      <c r="I9" s="39">
        <f>SUMIFS(Data!$B$2:$B$100,Data!$A$2:$A$100,I$2,Data!$D$2:$D$100,$C9)</f>
        <v>0</v>
      </c>
      <c r="J9" s="39">
        <f>SUMIFS(Data!$B$2:$B$100,Data!$A$2:$A$100,J$2,Data!$D$2:$D$100,$C9)</f>
        <v>0</v>
      </c>
      <c r="K9" s="39">
        <f>SUMIFS(Data!$B$2:$B$100,Data!$A$2:$A$100,K$2,Data!$D$2:$D$100,$C9)</f>
        <v>10</v>
      </c>
      <c r="L9" s="39">
        <f>SUMIFS(Data!$B$2:$B$100,Data!$A$2:$A$100,L$2,Data!$D$2:$D$100,$C9)</f>
        <v>173</v>
      </c>
      <c r="M9" s="39">
        <f>SUMIFS(Data!$B$2:$B$100,Data!$A$2:$A$100,M$2,Data!$D$2:$D$100,$C9)</f>
        <v>27</v>
      </c>
      <c r="N9" s="39">
        <f>SUMIFS(Data!$B$2:$B$100,Data!$A$2:$A$100,N$2,Data!$D$2:$D$100,$C9)</f>
        <v>0</v>
      </c>
      <c r="O9" s="39">
        <f>SUMIFS(Data!$B$2:$B$100,Data!$A$2:$A$100,O$2,Data!$D$2:$D$100,$C9)</f>
        <v>0</v>
      </c>
      <c r="P9" s="39">
        <f>SUMIFS(Data!$B$2:$B$100,Data!$A$2:$A$100,P$2,Data!$D$2:$D$100,$C9)</f>
        <v>0</v>
      </c>
      <c r="Q9" s="39">
        <f>SUMIFS(Data!$B$2:$B$100,Data!$A$2:$A$100,Q$2,Data!$D$2:$D$100,$C9)</f>
        <v>0</v>
      </c>
      <c r="R9" s="39">
        <f>SUMIFS(Data!$B$2:$B$100,Data!$A$2:$A$100,R$2,Data!$D$2:$D$100,$C9)</f>
        <v>264</v>
      </c>
      <c r="S9" s="39">
        <f>SUMIFS(Data!$B$2:$B$100,Data!$A$2:$A$100,S$2,Data!$D$2:$D$100,$C9)</f>
        <v>0</v>
      </c>
      <c r="T9" s="39">
        <f>SUMIFS(Data!$B$2:$B$100,Data!$A$2:$A$100,T$2,Data!$D$2:$D$100,$C9)</f>
        <v>0</v>
      </c>
      <c r="U9" s="39">
        <f>SUMIFS(Data!$B$2:$B$100,Data!$A$2:$A$100,U$2,Data!$D$2:$D$100,$C9)</f>
        <v>25</v>
      </c>
      <c r="V9" s="39">
        <f>SUMIFS(Data!$B$2:$B$100,Data!$A$2:$A$100,V$2,Data!$D$2:$D$100,$C9)</f>
        <v>0</v>
      </c>
      <c r="W9" s="39">
        <f>SUMIFS(Data!$B$2:$B$100,Data!$A$2:$A$100,W$2,Data!$D$2:$D$100,$C9)</f>
        <v>0</v>
      </c>
      <c r="X9" s="39">
        <f>SUMIFS(Data!$B$2:$B$100,Data!$A$2:$A$100,X$2,Data!$D$2:$D$100,$C9)</f>
        <v>0</v>
      </c>
      <c r="Y9" s="39">
        <f>SUMIFS(Data!$B$2:$B$100,Data!$A$2:$A$100,Y$2,Data!$D$2:$D$100,$C9)</f>
        <v>0</v>
      </c>
      <c r="Z9" s="39">
        <f>SUMIFS(Data!$B$2:$B$100,Data!$A$2:$A$100,Z$2,Data!$D$2:$D$100,$C9)</f>
        <v>30</v>
      </c>
      <c r="AA9" s="39">
        <f>SUMIFS(Data!$B$2:$B$100,Data!$A$2:$A$100,AA$2,Data!$D$2:$D$100,$C9)</f>
        <v>25</v>
      </c>
      <c r="AB9" s="39">
        <f>SUMIFS(Data!$B$2:$B$100,Data!$A$2:$A$100,AB$2,Data!$D$2:$D$100,$C9)</f>
        <v>17</v>
      </c>
      <c r="AC9" s="39">
        <f>SUMIFS(Data!$B$2:$B$100,Data!$A$2:$A$100,AC$2,Data!$D$2:$D$100,$C9)</f>
        <v>0</v>
      </c>
      <c r="AD9" s="39">
        <f>SUMIFS(Data!$B$2:$B$100,Data!$A$2:$A$100,AD$2,Data!$D$2:$D$100,$C9)</f>
        <v>0</v>
      </c>
      <c r="AE9" s="39">
        <f>SUMIFS(Data!$B$2:$B$100,Data!$A$2:$A$100,AE$2,Data!$D$2:$D$100,$C9)</f>
        <v>0</v>
      </c>
      <c r="AF9" s="39">
        <f>SUMIFS(Data!$B$2:$B$100,Data!$A$2:$A$100,AF$2,Data!$D$2:$D$100,$C9)</f>
        <v>185</v>
      </c>
      <c r="AG9" s="39">
        <f>SUMIFS(Data!$B$2:$B$100,Data!$A$2:$A$100,AG$2,Data!$D$2:$D$100,$C9)</f>
        <v>0</v>
      </c>
      <c r="AH9" s="39">
        <f>SUMIFS(Data!$B$2:$B$100,Data!$A$2:$A$100,AH$2,Data!$D$2:$D$100,$C9)</f>
        <v>0</v>
      </c>
      <c r="AI9" s="218">
        <f t="shared" si="2"/>
        <v>866</v>
      </c>
    </row>
    <row r="10">
      <c r="A10" s="72"/>
      <c r="B10" s="16" t="s">
        <v>922</v>
      </c>
      <c r="C10" s="183" t="s">
        <v>86</v>
      </c>
      <c r="D10" s="39">
        <f>SUMIFS(Data!$B$2:$B$100,Data!$A$2:$A$100,D$2,Data!$D$2:$D$100,$C10)</f>
        <v>0</v>
      </c>
      <c r="E10" s="39">
        <f>SUMIFS(Data!$B$2:$B$100,Data!$A$2:$A$100,E$2,Data!$D$2:$D$100,$C10)</f>
        <v>0</v>
      </c>
      <c r="F10" s="39">
        <f>SUMIFS(Data!$B$2:$B$100,Data!$A$2:$A$100,F$2,Data!$D$2:$D$100,$C10)</f>
        <v>0</v>
      </c>
      <c r="G10" s="39">
        <f>SUMIFS(Data!$B$2:$B$100,Data!$A$2:$A$100,G$2,Data!$D$2:$D$100,$C10)</f>
        <v>0</v>
      </c>
      <c r="H10" s="39">
        <f>SUMIFS(Data!$B$2:$B$100,Data!$A$2:$A$100,H$2,Data!$D$2:$D$100,$C10)</f>
        <v>0</v>
      </c>
      <c r="I10" s="39">
        <f>SUMIFS(Data!$B$2:$B$100,Data!$A$2:$A$100,I$2,Data!$D$2:$D$100,$C10)</f>
        <v>0</v>
      </c>
      <c r="J10" s="39">
        <f>SUMIFS(Data!$B$2:$B$100,Data!$A$2:$A$100,J$2,Data!$D$2:$D$100,$C10)</f>
        <v>0</v>
      </c>
      <c r="K10" s="39">
        <f>SUMIFS(Data!$B$2:$B$100,Data!$A$2:$A$100,K$2,Data!$D$2:$D$100,$C10)</f>
        <v>0</v>
      </c>
      <c r="L10" s="39">
        <f>SUMIFS(Data!$B$2:$B$100,Data!$A$2:$A$100,L$2,Data!$D$2:$D$100,$C10)</f>
        <v>0</v>
      </c>
      <c r="M10" s="39">
        <f>SUMIFS(Data!$B$2:$B$100,Data!$A$2:$A$100,M$2,Data!$D$2:$D$100,$C10)</f>
        <v>0</v>
      </c>
      <c r="N10" s="39">
        <f>SUMIFS(Data!$B$2:$B$100,Data!$A$2:$A$100,N$2,Data!$D$2:$D$100,$C10)</f>
        <v>0</v>
      </c>
      <c r="O10" s="39">
        <f>SUMIFS(Data!$B$2:$B$100,Data!$A$2:$A$100,O$2,Data!$D$2:$D$100,$C10)</f>
        <v>0</v>
      </c>
      <c r="P10" s="39">
        <f>SUMIFS(Data!$B$2:$B$100,Data!$A$2:$A$100,P$2,Data!$D$2:$D$100,$C10)</f>
        <v>0</v>
      </c>
      <c r="Q10" s="39">
        <f>SUMIFS(Data!$B$2:$B$100,Data!$A$2:$A$100,Q$2,Data!$D$2:$D$100,$C10)</f>
        <v>0</v>
      </c>
      <c r="R10" s="39">
        <f>SUMIFS(Data!$B$2:$B$100,Data!$A$2:$A$100,R$2,Data!$D$2:$D$100,$C10)</f>
        <v>0</v>
      </c>
      <c r="S10" s="39">
        <f>SUMIFS(Data!$B$2:$B$100,Data!$A$2:$A$100,S$2,Data!$D$2:$D$100,$C10)</f>
        <v>0</v>
      </c>
      <c r="T10" s="39">
        <f>SUMIFS(Data!$B$2:$B$100,Data!$A$2:$A$100,T$2,Data!$D$2:$D$100,$C10)</f>
        <v>0</v>
      </c>
      <c r="U10" s="39">
        <f>SUMIFS(Data!$B$2:$B$100,Data!$A$2:$A$100,U$2,Data!$D$2:$D$100,$C10)</f>
        <v>0</v>
      </c>
      <c r="V10" s="39">
        <f>SUMIFS(Data!$B$2:$B$100,Data!$A$2:$A$100,V$2,Data!$D$2:$D$100,$C10)</f>
        <v>0</v>
      </c>
      <c r="W10" s="39">
        <f>SUMIFS(Data!$B$2:$B$100,Data!$A$2:$A$100,W$2,Data!$D$2:$D$100,$C10)</f>
        <v>0</v>
      </c>
      <c r="X10" s="39">
        <f>SUMIFS(Data!$B$2:$B$100,Data!$A$2:$A$100,X$2,Data!$D$2:$D$100,$C10)</f>
        <v>0</v>
      </c>
      <c r="Y10" s="39">
        <f>SUMIFS(Data!$B$2:$B$100,Data!$A$2:$A$100,Y$2,Data!$D$2:$D$100,$C10)</f>
        <v>0</v>
      </c>
      <c r="Z10" s="39">
        <f>SUMIFS(Data!$B$2:$B$100,Data!$A$2:$A$100,Z$2,Data!$D$2:$D$100,$C10)</f>
        <v>0</v>
      </c>
      <c r="AA10" s="39">
        <f>SUMIFS(Data!$B$2:$B$100,Data!$A$2:$A$100,AA$2,Data!$D$2:$D$100,$C10)</f>
        <v>0</v>
      </c>
      <c r="AB10" s="39">
        <f>SUMIFS(Data!$B$2:$B$100,Data!$A$2:$A$100,AB$2,Data!$D$2:$D$100,$C10)</f>
        <v>0</v>
      </c>
      <c r="AC10" s="39">
        <f>SUMIFS(Data!$B$2:$B$100,Data!$A$2:$A$100,AC$2,Data!$D$2:$D$100,$C10)</f>
        <v>0</v>
      </c>
      <c r="AD10" s="39">
        <f>SUMIFS(Data!$B$2:$B$100,Data!$A$2:$A$100,AD$2,Data!$D$2:$D$100,$C10)</f>
        <v>0</v>
      </c>
      <c r="AE10" s="39">
        <f>SUMIFS(Data!$B$2:$B$100,Data!$A$2:$A$100,AE$2,Data!$D$2:$D$100,$C10)</f>
        <v>0</v>
      </c>
      <c r="AF10" s="39">
        <f>SUMIFS(Data!$B$2:$B$100,Data!$A$2:$A$100,AF$2,Data!$D$2:$D$100,$C10)</f>
        <v>0</v>
      </c>
      <c r="AG10" s="39">
        <f>SUMIFS(Data!$B$2:$B$100,Data!$A$2:$A$100,AG$2,Data!$D$2:$D$100,$C10)</f>
        <v>0</v>
      </c>
      <c r="AH10" s="39">
        <f>SUMIFS(Data!$B$2:$B$100,Data!$A$2:$A$100,AH$2,Data!$D$2:$D$100,$C10)</f>
        <v>0</v>
      </c>
      <c r="AI10" s="218">
        <f t="shared" si="2"/>
        <v>0</v>
      </c>
    </row>
    <row r="11">
      <c r="A11" s="72"/>
      <c r="B11" s="16" t="s">
        <v>922</v>
      </c>
      <c r="C11" s="183" t="s">
        <v>42</v>
      </c>
      <c r="D11" s="39">
        <f>SUMIFS(Data!$B$2:$B$100,Data!$A$2:$A$100,D$2,Data!$D$2:$D$100,$C11)</f>
        <v>0</v>
      </c>
      <c r="E11" s="39">
        <f>SUMIFS(Data!$B$2:$B$100,Data!$A$2:$A$100,E$2,Data!$D$2:$D$100,$C11)</f>
        <v>0</v>
      </c>
      <c r="F11" s="39">
        <f>SUMIFS(Data!$B$2:$B$100,Data!$A$2:$A$100,F$2,Data!$D$2:$D$100,$C11)</f>
        <v>0</v>
      </c>
      <c r="G11" s="39">
        <f>SUMIFS(Data!$B$2:$B$100,Data!$A$2:$A$100,G$2,Data!$D$2:$D$100,$C11)</f>
        <v>0</v>
      </c>
      <c r="H11" s="39">
        <f>SUMIFS(Data!$B$2:$B$100,Data!$A$2:$A$100,H$2,Data!$D$2:$D$100,$C11)</f>
        <v>0</v>
      </c>
      <c r="I11" s="39">
        <f>SUMIFS(Data!$B$2:$B$100,Data!$A$2:$A$100,I$2,Data!$D$2:$D$100,$C11)</f>
        <v>0</v>
      </c>
      <c r="J11" s="39">
        <f>SUMIFS(Data!$B$2:$B$100,Data!$A$2:$A$100,J$2,Data!$D$2:$D$100,$C11)</f>
        <v>0</v>
      </c>
      <c r="K11" s="39">
        <f>SUMIFS(Data!$B$2:$B$100,Data!$A$2:$A$100,K$2,Data!$D$2:$D$100,$C11)</f>
        <v>56</v>
      </c>
      <c r="L11" s="39">
        <f>SUMIFS(Data!$B$2:$B$100,Data!$A$2:$A$100,L$2,Data!$D$2:$D$100,$C11)</f>
        <v>0</v>
      </c>
      <c r="M11" s="39">
        <f>SUMIFS(Data!$B$2:$B$100,Data!$A$2:$A$100,M$2,Data!$D$2:$D$100,$C11)</f>
        <v>0</v>
      </c>
      <c r="N11" s="39">
        <f>SUMIFS(Data!$B$2:$B$100,Data!$A$2:$A$100,N$2,Data!$D$2:$D$100,$C11)</f>
        <v>0</v>
      </c>
      <c r="O11" s="39">
        <f>SUMIFS(Data!$B$2:$B$100,Data!$A$2:$A$100,O$2,Data!$D$2:$D$100,$C11)</f>
        <v>0</v>
      </c>
      <c r="P11" s="39">
        <f>SUMIFS(Data!$B$2:$B$100,Data!$A$2:$A$100,P$2,Data!$D$2:$D$100,$C11)</f>
        <v>0</v>
      </c>
      <c r="Q11" s="39">
        <f>SUMIFS(Data!$B$2:$B$100,Data!$A$2:$A$100,Q$2,Data!$D$2:$D$100,$C11)</f>
        <v>0</v>
      </c>
      <c r="R11" s="39">
        <f>SUMIFS(Data!$B$2:$B$100,Data!$A$2:$A$100,R$2,Data!$D$2:$D$100,$C11)</f>
        <v>0</v>
      </c>
      <c r="S11" s="39">
        <f>SUMIFS(Data!$B$2:$B$100,Data!$A$2:$A$100,S$2,Data!$D$2:$D$100,$C11)</f>
        <v>0</v>
      </c>
      <c r="T11" s="39">
        <f>SUMIFS(Data!$B$2:$B$100,Data!$A$2:$A$100,T$2,Data!$D$2:$D$100,$C11)</f>
        <v>0</v>
      </c>
      <c r="U11" s="39">
        <f>SUMIFS(Data!$B$2:$B$100,Data!$A$2:$A$100,U$2,Data!$D$2:$D$100,$C11)</f>
        <v>0</v>
      </c>
      <c r="V11" s="39">
        <f>SUMIFS(Data!$B$2:$B$100,Data!$A$2:$A$100,V$2,Data!$D$2:$D$100,$C11)</f>
        <v>0</v>
      </c>
      <c r="W11" s="39">
        <f>SUMIFS(Data!$B$2:$B$100,Data!$A$2:$A$100,W$2,Data!$D$2:$D$100,$C11)</f>
        <v>0</v>
      </c>
      <c r="X11" s="39">
        <f>SUMIFS(Data!$B$2:$B$100,Data!$A$2:$A$100,X$2,Data!$D$2:$D$100,$C11)</f>
        <v>0</v>
      </c>
      <c r="Y11" s="39">
        <f>SUMIFS(Data!$B$2:$B$100,Data!$A$2:$A$100,Y$2,Data!$D$2:$D$100,$C11)</f>
        <v>0</v>
      </c>
      <c r="Z11" s="39">
        <f>SUMIFS(Data!$B$2:$B$100,Data!$A$2:$A$100,Z$2,Data!$D$2:$D$100,$C11)</f>
        <v>0</v>
      </c>
      <c r="AA11" s="39">
        <f>SUMIFS(Data!$B$2:$B$100,Data!$A$2:$A$100,AA$2,Data!$D$2:$D$100,$C11)</f>
        <v>0</v>
      </c>
      <c r="AB11" s="39">
        <f>SUMIFS(Data!$B$2:$B$100,Data!$A$2:$A$100,AB$2,Data!$D$2:$D$100,$C11)</f>
        <v>0</v>
      </c>
      <c r="AC11" s="39">
        <f>SUMIFS(Data!$B$2:$B$100,Data!$A$2:$A$100,AC$2,Data!$D$2:$D$100,$C11)</f>
        <v>0</v>
      </c>
      <c r="AD11" s="39">
        <f>SUMIFS(Data!$B$2:$B$100,Data!$A$2:$A$100,AD$2,Data!$D$2:$D$100,$C11)</f>
        <v>0</v>
      </c>
      <c r="AE11" s="39">
        <f>SUMIFS(Data!$B$2:$B$100,Data!$A$2:$A$100,AE$2,Data!$D$2:$D$100,$C11)</f>
        <v>0</v>
      </c>
      <c r="AF11" s="39">
        <f>SUMIFS(Data!$B$2:$B$100,Data!$A$2:$A$100,AF$2,Data!$D$2:$D$100,$C11)</f>
        <v>0</v>
      </c>
      <c r="AG11" s="39">
        <f>SUMIFS(Data!$B$2:$B$100,Data!$A$2:$A$100,AG$2,Data!$D$2:$D$100,$C11)</f>
        <v>56</v>
      </c>
      <c r="AH11" s="39">
        <f>SUMIFS(Data!$B$2:$B$100,Data!$A$2:$A$100,AH$2,Data!$D$2:$D$100,$C11)</f>
        <v>0</v>
      </c>
      <c r="AI11" s="218">
        <f t="shared" si="2"/>
        <v>112</v>
      </c>
    </row>
    <row r="12">
      <c r="A12" s="72"/>
      <c r="B12" s="16" t="s">
        <v>922</v>
      </c>
      <c r="C12" s="183" t="s">
        <v>924</v>
      </c>
      <c r="D12" s="39">
        <f>SUMIFS(Data!$B$2:$B$100,Data!$A$2:$A$100,D$2,Data!$D$2:$D$100,$C12)</f>
        <v>0</v>
      </c>
      <c r="E12" s="39">
        <f>SUMIFS(Data!$B$2:$B$100,Data!$A$2:$A$100,E$2,Data!$D$2:$D$100,$C12)</f>
        <v>0</v>
      </c>
      <c r="F12" s="39">
        <f>SUMIFS(Data!$B$2:$B$100,Data!$A$2:$A$100,F$2,Data!$D$2:$D$100,$C12)</f>
        <v>0</v>
      </c>
      <c r="G12" s="39">
        <f>SUMIFS(Data!$B$2:$B$100,Data!$A$2:$A$100,G$2,Data!$D$2:$D$100,$C12)</f>
        <v>0</v>
      </c>
      <c r="H12" s="39">
        <f>SUMIFS(Data!$B$2:$B$100,Data!$A$2:$A$100,H$2,Data!$D$2:$D$100,$C12)</f>
        <v>0</v>
      </c>
      <c r="I12" s="39">
        <f>SUMIFS(Data!$B$2:$B$100,Data!$A$2:$A$100,I$2,Data!$D$2:$D$100,$C12)</f>
        <v>0</v>
      </c>
      <c r="J12" s="39">
        <f>SUMIFS(Data!$B$2:$B$100,Data!$A$2:$A$100,J$2,Data!$D$2:$D$100,$C12)</f>
        <v>0</v>
      </c>
      <c r="K12" s="39">
        <f>SUMIFS(Data!$B$2:$B$100,Data!$A$2:$A$100,K$2,Data!$D$2:$D$100,$C12)</f>
        <v>0</v>
      </c>
      <c r="L12" s="39">
        <f>SUMIFS(Data!$B$2:$B$100,Data!$A$2:$A$100,L$2,Data!$D$2:$D$100,$C12)</f>
        <v>0</v>
      </c>
      <c r="M12" s="39">
        <f>SUMIFS(Data!$B$2:$B$100,Data!$A$2:$A$100,M$2,Data!$D$2:$D$100,$C12)</f>
        <v>0</v>
      </c>
      <c r="N12" s="39">
        <f>SUMIFS(Data!$B$2:$B$100,Data!$A$2:$A$100,N$2,Data!$D$2:$D$100,$C12)</f>
        <v>0</v>
      </c>
      <c r="O12" s="39">
        <f>SUMIFS(Data!$B$2:$B$100,Data!$A$2:$A$100,O$2,Data!$D$2:$D$100,$C12)</f>
        <v>0</v>
      </c>
      <c r="P12" s="39">
        <f>SUMIFS(Data!$B$2:$B$100,Data!$A$2:$A$100,P$2,Data!$D$2:$D$100,$C12)</f>
        <v>0</v>
      </c>
      <c r="Q12" s="39">
        <f>SUMIFS(Data!$B$2:$B$100,Data!$A$2:$A$100,Q$2,Data!$D$2:$D$100,$C12)</f>
        <v>0</v>
      </c>
      <c r="R12" s="39">
        <f>SUMIFS(Data!$B$2:$B$100,Data!$A$2:$A$100,R$2,Data!$D$2:$D$100,$C12)</f>
        <v>0</v>
      </c>
      <c r="S12" s="39">
        <f>SUMIFS(Data!$B$2:$B$100,Data!$A$2:$A$100,S$2,Data!$D$2:$D$100,$C12)</f>
        <v>0</v>
      </c>
      <c r="T12" s="39">
        <f>SUMIFS(Data!$B$2:$B$100,Data!$A$2:$A$100,T$2,Data!$D$2:$D$100,$C12)</f>
        <v>0</v>
      </c>
      <c r="U12" s="39">
        <f>SUMIFS(Data!$B$2:$B$100,Data!$A$2:$A$100,U$2,Data!$D$2:$D$100,$C12)</f>
        <v>0</v>
      </c>
      <c r="V12" s="39">
        <f>SUMIFS(Data!$B$2:$B$100,Data!$A$2:$A$100,V$2,Data!$D$2:$D$100,$C12)</f>
        <v>0</v>
      </c>
      <c r="W12" s="39">
        <f>SUMIFS(Data!$B$2:$B$100,Data!$A$2:$A$100,W$2,Data!$D$2:$D$100,$C12)</f>
        <v>0</v>
      </c>
      <c r="X12" s="39">
        <f>SUMIFS(Data!$B$2:$B$100,Data!$A$2:$A$100,X$2,Data!$D$2:$D$100,$C12)</f>
        <v>0</v>
      </c>
      <c r="Y12" s="39">
        <f>SUMIFS(Data!$B$2:$B$100,Data!$A$2:$A$100,Y$2,Data!$D$2:$D$100,$C12)</f>
        <v>0</v>
      </c>
      <c r="Z12" s="39">
        <f>SUMIFS(Data!$B$2:$B$100,Data!$A$2:$A$100,Z$2,Data!$D$2:$D$100,$C12)</f>
        <v>0</v>
      </c>
      <c r="AA12" s="39">
        <f>SUMIFS(Data!$B$2:$B$100,Data!$A$2:$A$100,AA$2,Data!$D$2:$D$100,$C12)</f>
        <v>0</v>
      </c>
      <c r="AB12" s="39">
        <f>SUMIFS(Data!$B$2:$B$100,Data!$A$2:$A$100,AB$2,Data!$D$2:$D$100,$C12)</f>
        <v>0</v>
      </c>
      <c r="AC12" s="39">
        <f>SUMIFS(Data!$B$2:$B$100,Data!$A$2:$A$100,AC$2,Data!$D$2:$D$100,$C12)</f>
        <v>0</v>
      </c>
      <c r="AD12" s="39">
        <f>SUMIFS(Data!$B$2:$B$100,Data!$A$2:$A$100,AD$2,Data!$D$2:$D$100,$C12)</f>
        <v>0</v>
      </c>
      <c r="AE12" s="39">
        <f>SUMIFS(Data!$B$2:$B$100,Data!$A$2:$A$100,AE$2,Data!$D$2:$D$100,$C12)</f>
        <v>0</v>
      </c>
      <c r="AF12" s="39">
        <f>SUMIFS(Data!$B$2:$B$100,Data!$A$2:$A$100,AF$2,Data!$D$2:$D$100,$C12)</f>
        <v>0</v>
      </c>
      <c r="AG12" s="39">
        <f>SUMIFS(Data!$B$2:$B$100,Data!$A$2:$A$100,AG$2,Data!$D$2:$D$100,$C12)</f>
        <v>0</v>
      </c>
      <c r="AH12" s="39">
        <f>SUMIFS(Data!$B$2:$B$100,Data!$A$2:$A$100,AH$2,Data!$D$2:$D$100,$C12)</f>
        <v>0</v>
      </c>
      <c r="AI12" s="218">
        <f t="shared" si="2"/>
        <v>0</v>
      </c>
    </row>
    <row r="13">
      <c r="A13" s="72"/>
      <c r="B13" s="16" t="s">
        <v>926</v>
      </c>
      <c r="C13" s="187" t="s">
        <v>35</v>
      </c>
      <c r="D13" s="39">
        <f>SUMIFS(Data!$B$2:$B$100,Data!$A$2:$A$100,D$2,Data!$D$2:$D$100,$C13)</f>
        <v>0</v>
      </c>
      <c r="E13" s="39">
        <f>SUMIFS(Data!$B$2:$B$100,Data!$A$2:$A$100,E$2,Data!$D$2:$D$100,$C13)</f>
        <v>0</v>
      </c>
      <c r="F13" s="39">
        <f>SUMIFS(Data!$B$2:$B$100,Data!$A$2:$A$100,F$2,Data!$D$2:$D$100,$C13)</f>
        <v>0</v>
      </c>
      <c r="G13" s="39">
        <f>SUMIFS(Data!$B$2:$B$100,Data!$A$2:$A$100,G$2,Data!$D$2:$D$100,$C13)</f>
        <v>0</v>
      </c>
      <c r="H13" s="39">
        <f>SUMIFS(Data!$B$2:$B$100,Data!$A$2:$A$100,H$2,Data!$D$2:$D$100,$C13)</f>
        <v>0</v>
      </c>
      <c r="I13" s="39">
        <f>SUMIFS(Data!$B$2:$B$100,Data!$A$2:$A$100,I$2,Data!$D$2:$D$100,$C13)</f>
        <v>0</v>
      </c>
      <c r="J13" s="39">
        <f>SUMIFS(Data!$B$2:$B$100,Data!$A$2:$A$100,J$2,Data!$D$2:$D$100,$C13)</f>
        <v>3</v>
      </c>
      <c r="K13" s="39">
        <f>SUMIFS(Data!$B$2:$B$100,Data!$A$2:$A$100,K$2,Data!$D$2:$D$100,$C13)</f>
        <v>6</v>
      </c>
      <c r="L13" s="39">
        <f>SUMIFS(Data!$B$2:$B$100,Data!$A$2:$A$100,L$2,Data!$D$2:$D$100,$C13)</f>
        <v>3</v>
      </c>
      <c r="M13" s="39">
        <f>SUMIFS(Data!$B$2:$B$100,Data!$A$2:$A$100,M$2,Data!$D$2:$D$100,$C13)</f>
        <v>0</v>
      </c>
      <c r="N13" s="39">
        <f>SUMIFS(Data!$B$2:$B$100,Data!$A$2:$A$100,N$2,Data!$D$2:$D$100,$C13)</f>
        <v>0</v>
      </c>
      <c r="O13" s="39">
        <f>SUMIFS(Data!$B$2:$B$100,Data!$A$2:$A$100,O$2,Data!$D$2:$D$100,$C13)</f>
        <v>0</v>
      </c>
      <c r="P13" s="39">
        <f>SUMIFS(Data!$B$2:$B$100,Data!$A$2:$A$100,P$2,Data!$D$2:$D$100,$C13)</f>
        <v>0</v>
      </c>
      <c r="Q13" s="39">
        <f>SUMIFS(Data!$B$2:$B$100,Data!$A$2:$A$100,Q$2,Data!$D$2:$D$100,$C13)</f>
        <v>0</v>
      </c>
      <c r="R13" s="39">
        <f>SUMIFS(Data!$B$2:$B$100,Data!$A$2:$A$100,R$2,Data!$D$2:$D$100,$C13)</f>
        <v>0</v>
      </c>
      <c r="S13" s="39">
        <f>SUMIFS(Data!$B$2:$B$100,Data!$A$2:$A$100,S$2,Data!$D$2:$D$100,$C13)</f>
        <v>0</v>
      </c>
      <c r="T13" s="39">
        <f>SUMIFS(Data!$B$2:$B$100,Data!$A$2:$A$100,T$2,Data!$D$2:$D$100,$C13)</f>
        <v>0</v>
      </c>
      <c r="U13" s="39">
        <f>SUMIFS(Data!$B$2:$B$100,Data!$A$2:$A$100,U$2,Data!$D$2:$D$100,$C13)</f>
        <v>5</v>
      </c>
      <c r="V13" s="39">
        <f>SUMIFS(Data!$B$2:$B$100,Data!$A$2:$A$100,V$2,Data!$D$2:$D$100,$C13)</f>
        <v>0</v>
      </c>
      <c r="W13" s="39">
        <f>SUMIFS(Data!$B$2:$B$100,Data!$A$2:$A$100,W$2,Data!$D$2:$D$100,$C13)</f>
        <v>0</v>
      </c>
      <c r="X13" s="39">
        <f>SUMIFS(Data!$B$2:$B$100,Data!$A$2:$A$100,X$2,Data!$D$2:$D$100,$C13)</f>
        <v>0</v>
      </c>
      <c r="Y13" s="39">
        <f>SUMIFS(Data!$B$2:$B$100,Data!$A$2:$A$100,Y$2,Data!$D$2:$D$100,$C13)</f>
        <v>3</v>
      </c>
      <c r="Z13" s="39">
        <f>SUMIFS(Data!$B$2:$B$100,Data!$A$2:$A$100,Z$2,Data!$D$2:$D$100,$C13)</f>
        <v>0</v>
      </c>
      <c r="AA13" s="39">
        <f>SUMIFS(Data!$B$2:$B$100,Data!$A$2:$A$100,AA$2,Data!$D$2:$D$100,$C13)</f>
        <v>0</v>
      </c>
      <c r="AB13" s="39">
        <f>SUMIFS(Data!$B$2:$B$100,Data!$A$2:$A$100,AB$2,Data!$D$2:$D$100,$C13)</f>
        <v>0</v>
      </c>
      <c r="AC13" s="39">
        <f>SUMIFS(Data!$B$2:$B$100,Data!$A$2:$A$100,AC$2,Data!$D$2:$D$100,$C13)</f>
        <v>0</v>
      </c>
      <c r="AD13" s="39">
        <f>SUMIFS(Data!$B$2:$B$100,Data!$A$2:$A$100,AD$2,Data!$D$2:$D$100,$C13)</f>
        <v>0</v>
      </c>
      <c r="AE13" s="39">
        <f>SUMIFS(Data!$B$2:$B$100,Data!$A$2:$A$100,AE$2,Data!$D$2:$D$100,$C13)</f>
        <v>0</v>
      </c>
      <c r="AF13" s="39">
        <f>SUMIFS(Data!$B$2:$B$100,Data!$A$2:$A$100,AF$2,Data!$D$2:$D$100,$C13)</f>
        <v>0</v>
      </c>
      <c r="AG13" s="39">
        <f>SUMIFS(Data!$B$2:$B$100,Data!$A$2:$A$100,AG$2,Data!$D$2:$D$100,$C13)</f>
        <v>0</v>
      </c>
      <c r="AH13" s="39">
        <f>SUMIFS(Data!$B$2:$B$100,Data!$A$2:$A$100,AH$2,Data!$D$2:$D$100,$C13)</f>
        <v>0</v>
      </c>
      <c r="AI13" s="218">
        <f t="shared" si="2"/>
        <v>20</v>
      </c>
    </row>
    <row r="14">
      <c r="A14" s="72"/>
      <c r="B14" s="16" t="s">
        <v>926</v>
      </c>
      <c r="C14" s="187" t="s">
        <v>927</v>
      </c>
      <c r="D14" s="39">
        <f>SUMIFS(Data!$B$2:$B$100,Data!$A$2:$A$100,D$2,Data!$D$2:$D$100,$C14)</f>
        <v>0</v>
      </c>
      <c r="E14" s="39">
        <f>SUMIFS(Data!$B$2:$B$100,Data!$A$2:$A$100,E$2,Data!$D$2:$D$100,$C14)</f>
        <v>0</v>
      </c>
      <c r="F14" s="39">
        <f>SUMIFS(Data!$B$2:$B$100,Data!$A$2:$A$100,F$2,Data!$D$2:$D$100,$C14)</f>
        <v>0</v>
      </c>
      <c r="G14" s="39">
        <f>SUMIFS(Data!$B$2:$B$100,Data!$A$2:$A$100,G$2,Data!$D$2:$D$100,$C14)</f>
        <v>0</v>
      </c>
      <c r="H14" s="39">
        <f>SUMIFS(Data!$B$2:$B$100,Data!$A$2:$A$100,H$2,Data!$D$2:$D$100,$C14)</f>
        <v>0</v>
      </c>
      <c r="I14" s="39">
        <f>SUMIFS(Data!$B$2:$B$100,Data!$A$2:$A$100,I$2,Data!$D$2:$D$100,$C14)</f>
        <v>0</v>
      </c>
      <c r="J14" s="39">
        <f>SUMIFS(Data!$B$2:$B$100,Data!$A$2:$A$100,J$2,Data!$D$2:$D$100,$C14)</f>
        <v>0</v>
      </c>
      <c r="K14" s="39">
        <f>SUMIFS(Data!$B$2:$B$100,Data!$A$2:$A$100,K$2,Data!$D$2:$D$100,$C14)</f>
        <v>0</v>
      </c>
      <c r="L14" s="39">
        <f>SUMIFS(Data!$B$2:$B$100,Data!$A$2:$A$100,L$2,Data!$D$2:$D$100,$C14)</f>
        <v>0</v>
      </c>
      <c r="M14" s="39">
        <f>SUMIFS(Data!$B$2:$B$100,Data!$A$2:$A$100,M$2,Data!$D$2:$D$100,$C14)</f>
        <v>0</v>
      </c>
      <c r="N14" s="39">
        <f>SUMIFS(Data!$B$2:$B$100,Data!$A$2:$A$100,N$2,Data!$D$2:$D$100,$C14)</f>
        <v>0</v>
      </c>
      <c r="O14" s="39">
        <f>SUMIFS(Data!$B$2:$B$100,Data!$A$2:$A$100,O$2,Data!$D$2:$D$100,$C14)</f>
        <v>0</v>
      </c>
      <c r="P14" s="39">
        <f>SUMIFS(Data!$B$2:$B$100,Data!$A$2:$A$100,P$2,Data!$D$2:$D$100,$C14)</f>
        <v>0</v>
      </c>
      <c r="Q14" s="39">
        <f>SUMIFS(Data!$B$2:$B$100,Data!$A$2:$A$100,Q$2,Data!$D$2:$D$100,$C14)</f>
        <v>0</v>
      </c>
      <c r="R14" s="39">
        <f>SUMIFS(Data!$B$2:$B$100,Data!$A$2:$A$100,R$2,Data!$D$2:$D$100,$C14)</f>
        <v>0</v>
      </c>
      <c r="S14" s="39">
        <f>SUMIFS(Data!$B$2:$B$100,Data!$A$2:$A$100,S$2,Data!$D$2:$D$100,$C14)</f>
        <v>0</v>
      </c>
      <c r="T14" s="39">
        <f>SUMIFS(Data!$B$2:$B$100,Data!$A$2:$A$100,T$2,Data!$D$2:$D$100,$C14)</f>
        <v>0</v>
      </c>
      <c r="U14" s="39">
        <f>SUMIFS(Data!$B$2:$B$100,Data!$A$2:$A$100,U$2,Data!$D$2:$D$100,$C14)</f>
        <v>0</v>
      </c>
      <c r="V14" s="39">
        <f>SUMIFS(Data!$B$2:$B$100,Data!$A$2:$A$100,V$2,Data!$D$2:$D$100,$C14)</f>
        <v>0</v>
      </c>
      <c r="W14" s="39">
        <f>SUMIFS(Data!$B$2:$B$100,Data!$A$2:$A$100,W$2,Data!$D$2:$D$100,$C14)</f>
        <v>0</v>
      </c>
      <c r="X14" s="39">
        <f>SUMIFS(Data!$B$2:$B$100,Data!$A$2:$A$100,X$2,Data!$D$2:$D$100,$C14)</f>
        <v>0</v>
      </c>
      <c r="Y14" s="39">
        <f>SUMIFS(Data!$B$2:$B$100,Data!$A$2:$A$100,Y$2,Data!$D$2:$D$100,$C14)</f>
        <v>0</v>
      </c>
      <c r="Z14" s="39">
        <f>SUMIFS(Data!$B$2:$B$100,Data!$A$2:$A$100,Z$2,Data!$D$2:$D$100,$C14)</f>
        <v>0</v>
      </c>
      <c r="AA14" s="39">
        <f>SUMIFS(Data!$B$2:$B$100,Data!$A$2:$A$100,AA$2,Data!$D$2:$D$100,$C14)</f>
        <v>0</v>
      </c>
      <c r="AB14" s="39">
        <f>SUMIFS(Data!$B$2:$B$100,Data!$A$2:$A$100,AB$2,Data!$D$2:$D$100,$C14)</f>
        <v>0</v>
      </c>
      <c r="AC14" s="39">
        <f>SUMIFS(Data!$B$2:$B$100,Data!$A$2:$A$100,AC$2,Data!$D$2:$D$100,$C14)</f>
        <v>0</v>
      </c>
      <c r="AD14" s="39">
        <f>SUMIFS(Data!$B$2:$B$100,Data!$A$2:$A$100,AD$2,Data!$D$2:$D$100,$C14)</f>
        <v>0</v>
      </c>
      <c r="AE14" s="39">
        <f>SUMIFS(Data!$B$2:$B$100,Data!$A$2:$A$100,AE$2,Data!$D$2:$D$100,$C14)</f>
        <v>0</v>
      </c>
      <c r="AF14" s="39">
        <f>SUMIFS(Data!$B$2:$B$100,Data!$A$2:$A$100,AF$2,Data!$D$2:$D$100,$C14)</f>
        <v>0</v>
      </c>
      <c r="AG14" s="39">
        <f>SUMIFS(Data!$B$2:$B$100,Data!$A$2:$A$100,AG$2,Data!$D$2:$D$100,$C14)</f>
        <v>0</v>
      </c>
      <c r="AH14" s="39">
        <f>SUMIFS(Data!$B$2:$B$100,Data!$A$2:$A$100,AH$2,Data!$D$2:$D$100,$C14)</f>
        <v>0</v>
      </c>
      <c r="AI14" s="218">
        <f t="shared" si="2"/>
        <v>0</v>
      </c>
    </row>
    <row r="15">
      <c r="A15" s="72"/>
      <c r="B15" s="16" t="s">
        <v>928</v>
      </c>
      <c r="C15" s="189" t="s">
        <v>50</v>
      </c>
      <c r="D15" s="39">
        <f>SUMIFS(Data!$B$2:$B$100,Data!$A$2:$A$100,D$2,Data!$D$2:$D$100,$C15)</f>
        <v>0</v>
      </c>
      <c r="E15" s="39">
        <f>SUMIFS(Data!$B$2:$B$100,Data!$A$2:$A$100,E$2,Data!$D$2:$D$100,$C15)</f>
        <v>0</v>
      </c>
      <c r="F15" s="39">
        <f>SUMIFS(Data!$B$2:$B$100,Data!$A$2:$A$100,F$2,Data!$D$2:$D$100,$C15)</f>
        <v>0</v>
      </c>
      <c r="G15" s="39">
        <f>SUMIFS(Data!$B$2:$B$100,Data!$A$2:$A$100,G$2,Data!$D$2:$D$100,$C15)</f>
        <v>0</v>
      </c>
      <c r="H15" s="39">
        <f>SUMIFS(Data!$B$2:$B$100,Data!$A$2:$A$100,H$2,Data!$D$2:$D$100,$C15)</f>
        <v>0</v>
      </c>
      <c r="I15" s="39">
        <f>SUMIFS(Data!$B$2:$B$100,Data!$A$2:$A$100,I$2,Data!$D$2:$D$100,$C15)</f>
        <v>0</v>
      </c>
      <c r="J15" s="39">
        <f>SUMIFS(Data!$B$2:$B$100,Data!$A$2:$A$100,J$2,Data!$D$2:$D$100,$C15)</f>
        <v>0</v>
      </c>
      <c r="K15" s="39">
        <f>SUMIFS(Data!$B$2:$B$100,Data!$A$2:$A$100,K$2,Data!$D$2:$D$100,$C15)</f>
        <v>0</v>
      </c>
      <c r="L15" s="39">
        <f>SUMIFS(Data!$B$2:$B$100,Data!$A$2:$A$100,L$2,Data!$D$2:$D$100,$C15)</f>
        <v>0</v>
      </c>
      <c r="M15" s="39">
        <f>SUMIFS(Data!$B$2:$B$100,Data!$A$2:$A$100,M$2,Data!$D$2:$D$100,$C15)</f>
        <v>0</v>
      </c>
      <c r="N15" s="39">
        <f>SUMIFS(Data!$B$2:$B$100,Data!$A$2:$A$100,N$2,Data!$D$2:$D$100,$C15)</f>
        <v>0</v>
      </c>
      <c r="O15" s="39">
        <f>SUMIFS(Data!$B$2:$B$100,Data!$A$2:$A$100,O$2,Data!$D$2:$D$100,$C15)</f>
        <v>0</v>
      </c>
      <c r="P15" s="39">
        <f>SUMIFS(Data!$B$2:$B$100,Data!$A$2:$A$100,P$2,Data!$D$2:$D$100,$C15)</f>
        <v>0</v>
      </c>
      <c r="Q15" s="39">
        <f>SUMIFS(Data!$B$2:$B$100,Data!$A$2:$A$100,Q$2,Data!$D$2:$D$100,$C15)</f>
        <v>0</v>
      </c>
      <c r="R15" s="39">
        <f>SUMIFS(Data!$B$2:$B$100,Data!$A$2:$A$100,R$2,Data!$D$2:$D$100,$C15)</f>
        <v>46</v>
      </c>
      <c r="S15" s="39">
        <f>SUMIFS(Data!$B$2:$B$100,Data!$A$2:$A$100,S$2,Data!$D$2:$D$100,$C15)</f>
        <v>0</v>
      </c>
      <c r="T15" s="39">
        <f>SUMIFS(Data!$B$2:$B$100,Data!$A$2:$A$100,T$2,Data!$D$2:$D$100,$C15)</f>
        <v>0</v>
      </c>
      <c r="U15" s="39">
        <f>SUMIFS(Data!$B$2:$B$100,Data!$A$2:$A$100,U$2,Data!$D$2:$D$100,$C15)</f>
        <v>0</v>
      </c>
      <c r="V15" s="39">
        <f>SUMIFS(Data!$B$2:$B$100,Data!$A$2:$A$100,V$2,Data!$D$2:$D$100,$C15)</f>
        <v>0</v>
      </c>
      <c r="W15" s="39">
        <f>SUMIFS(Data!$B$2:$B$100,Data!$A$2:$A$100,W$2,Data!$D$2:$D$100,$C15)</f>
        <v>0</v>
      </c>
      <c r="X15" s="39">
        <f>SUMIFS(Data!$B$2:$B$100,Data!$A$2:$A$100,X$2,Data!$D$2:$D$100,$C15)</f>
        <v>0</v>
      </c>
      <c r="Y15" s="39">
        <f>SUMIFS(Data!$B$2:$B$100,Data!$A$2:$A$100,Y$2,Data!$D$2:$D$100,$C15)</f>
        <v>0</v>
      </c>
      <c r="Z15" s="39">
        <f>SUMIFS(Data!$B$2:$B$100,Data!$A$2:$A$100,Z$2,Data!$D$2:$D$100,$C15)</f>
        <v>0</v>
      </c>
      <c r="AA15" s="39">
        <f>SUMIFS(Data!$B$2:$B$100,Data!$A$2:$A$100,AA$2,Data!$D$2:$D$100,$C15)</f>
        <v>0</v>
      </c>
      <c r="AB15" s="39">
        <f>SUMIFS(Data!$B$2:$B$100,Data!$A$2:$A$100,AB$2,Data!$D$2:$D$100,$C15)</f>
        <v>0</v>
      </c>
      <c r="AC15" s="39">
        <f>SUMIFS(Data!$B$2:$B$100,Data!$A$2:$A$100,AC$2,Data!$D$2:$D$100,$C15)</f>
        <v>0</v>
      </c>
      <c r="AD15" s="39">
        <f>SUMIFS(Data!$B$2:$B$100,Data!$A$2:$A$100,AD$2,Data!$D$2:$D$100,$C15)</f>
        <v>0</v>
      </c>
      <c r="AE15" s="39">
        <f>SUMIFS(Data!$B$2:$B$100,Data!$A$2:$A$100,AE$2,Data!$D$2:$D$100,$C15)</f>
        <v>0</v>
      </c>
      <c r="AF15" s="39">
        <f>SUMIFS(Data!$B$2:$B$100,Data!$A$2:$A$100,AF$2,Data!$D$2:$D$100,$C15)</f>
        <v>0</v>
      </c>
      <c r="AG15" s="39">
        <f>SUMIFS(Data!$B$2:$B$100,Data!$A$2:$A$100,AG$2,Data!$D$2:$D$100,$C15)</f>
        <v>0</v>
      </c>
      <c r="AH15" s="39">
        <f>SUMIFS(Data!$B$2:$B$100,Data!$A$2:$A$100,AH$2,Data!$D$2:$D$100,$C15)</f>
        <v>0</v>
      </c>
      <c r="AI15" s="218">
        <f t="shared" si="2"/>
        <v>46</v>
      </c>
    </row>
    <row r="16">
      <c r="A16" s="72"/>
      <c r="B16" s="16" t="s">
        <v>928</v>
      </c>
      <c r="C16" s="189" t="s">
        <v>929</v>
      </c>
      <c r="D16" s="39">
        <f>SUMIFS(Data!$B$2:$B$100,Data!$A$2:$A$100,D$2,Data!$D$2:$D$100,$C16)</f>
        <v>0</v>
      </c>
      <c r="E16" s="39">
        <f>SUMIFS(Data!$B$2:$B$100,Data!$A$2:$A$100,E$2,Data!$D$2:$D$100,$C16)</f>
        <v>0</v>
      </c>
      <c r="F16" s="39">
        <f>SUMIFS(Data!$B$2:$B$100,Data!$A$2:$A$100,F$2,Data!$D$2:$D$100,$C16)</f>
        <v>0</v>
      </c>
      <c r="G16" s="39">
        <f>SUMIFS(Data!$B$2:$B$100,Data!$A$2:$A$100,G$2,Data!$D$2:$D$100,$C16)</f>
        <v>0</v>
      </c>
      <c r="H16" s="39">
        <f>SUMIFS(Data!$B$2:$B$100,Data!$A$2:$A$100,H$2,Data!$D$2:$D$100,$C16)</f>
        <v>0</v>
      </c>
      <c r="I16" s="39">
        <f>SUMIFS(Data!$B$2:$B$100,Data!$A$2:$A$100,I$2,Data!$D$2:$D$100,$C16)</f>
        <v>0</v>
      </c>
      <c r="J16" s="39">
        <f>SUMIFS(Data!$B$2:$B$100,Data!$A$2:$A$100,J$2,Data!$D$2:$D$100,$C16)</f>
        <v>0</v>
      </c>
      <c r="K16" s="39">
        <f>SUMIFS(Data!$B$2:$B$100,Data!$A$2:$A$100,K$2,Data!$D$2:$D$100,$C16)</f>
        <v>0</v>
      </c>
      <c r="L16" s="39">
        <f>SUMIFS(Data!$B$2:$B$100,Data!$A$2:$A$100,L$2,Data!$D$2:$D$100,$C16)</f>
        <v>0</v>
      </c>
      <c r="M16" s="39">
        <f>SUMIFS(Data!$B$2:$B$100,Data!$A$2:$A$100,M$2,Data!$D$2:$D$100,$C16)</f>
        <v>0</v>
      </c>
      <c r="N16" s="39">
        <f>SUMIFS(Data!$B$2:$B$100,Data!$A$2:$A$100,N$2,Data!$D$2:$D$100,$C16)</f>
        <v>0</v>
      </c>
      <c r="O16" s="39">
        <f>SUMIFS(Data!$B$2:$B$100,Data!$A$2:$A$100,O$2,Data!$D$2:$D$100,$C16)</f>
        <v>0</v>
      </c>
      <c r="P16" s="39">
        <f>SUMIFS(Data!$B$2:$B$100,Data!$A$2:$A$100,P$2,Data!$D$2:$D$100,$C16)</f>
        <v>0</v>
      </c>
      <c r="Q16" s="39">
        <f>SUMIFS(Data!$B$2:$B$100,Data!$A$2:$A$100,Q$2,Data!$D$2:$D$100,$C16)</f>
        <v>0</v>
      </c>
      <c r="R16" s="39">
        <f>SUMIFS(Data!$B$2:$B$100,Data!$A$2:$A$100,R$2,Data!$D$2:$D$100,$C16)</f>
        <v>0</v>
      </c>
      <c r="S16" s="39">
        <f>SUMIFS(Data!$B$2:$B$100,Data!$A$2:$A$100,S$2,Data!$D$2:$D$100,$C16)</f>
        <v>0</v>
      </c>
      <c r="T16" s="39">
        <f>SUMIFS(Data!$B$2:$B$100,Data!$A$2:$A$100,T$2,Data!$D$2:$D$100,$C16)</f>
        <v>0</v>
      </c>
      <c r="U16" s="39">
        <f>SUMIFS(Data!$B$2:$B$100,Data!$A$2:$A$100,U$2,Data!$D$2:$D$100,$C16)</f>
        <v>0</v>
      </c>
      <c r="V16" s="39">
        <f>SUMIFS(Data!$B$2:$B$100,Data!$A$2:$A$100,V$2,Data!$D$2:$D$100,$C16)</f>
        <v>0</v>
      </c>
      <c r="W16" s="39">
        <f>SUMIFS(Data!$B$2:$B$100,Data!$A$2:$A$100,W$2,Data!$D$2:$D$100,$C16)</f>
        <v>0</v>
      </c>
      <c r="X16" s="39">
        <f>SUMIFS(Data!$B$2:$B$100,Data!$A$2:$A$100,X$2,Data!$D$2:$D$100,$C16)</f>
        <v>0</v>
      </c>
      <c r="Y16" s="39">
        <f>SUMIFS(Data!$B$2:$B$100,Data!$A$2:$A$100,Y$2,Data!$D$2:$D$100,$C16)</f>
        <v>0</v>
      </c>
      <c r="Z16" s="39">
        <f>SUMIFS(Data!$B$2:$B$100,Data!$A$2:$A$100,Z$2,Data!$D$2:$D$100,$C16)</f>
        <v>0</v>
      </c>
      <c r="AA16" s="39">
        <f>SUMIFS(Data!$B$2:$B$100,Data!$A$2:$A$100,AA$2,Data!$D$2:$D$100,$C16)</f>
        <v>0</v>
      </c>
      <c r="AB16" s="39">
        <f>SUMIFS(Data!$B$2:$B$100,Data!$A$2:$A$100,AB$2,Data!$D$2:$D$100,$C16)</f>
        <v>0</v>
      </c>
      <c r="AC16" s="39">
        <f>SUMIFS(Data!$B$2:$B$100,Data!$A$2:$A$100,AC$2,Data!$D$2:$D$100,$C16)</f>
        <v>0</v>
      </c>
      <c r="AD16" s="39">
        <f>SUMIFS(Data!$B$2:$B$100,Data!$A$2:$A$100,AD$2,Data!$D$2:$D$100,$C16)</f>
        <v>0</v>
      </c>
      <c r="AE16" s="39">
        <f>SUMIFS(Data!$B$2:$B$100,Data!$A$2:$A$100,AE$2,Data!$D$2:$D$100,$C16)</f>
        <v>0</v>
      </c>
      <c r="AF16" s="39">
        <f>SUMIFS(Data!$B$2:$B$100,Data!$A$2:$A$100,AF$2,Data!$D$2:$D$100,$C16)</f>
        <v>0</v>
      </c>
      <c r="AG16" s="39">
        <f>SUMIFS(Data!$B$2:$B$100,Data!$A$2:$A$100,AG$2,Data!$D$2:$D$100,$C16)</f>
        <v>0</v>
      </c>
      <c r="AH16" s="39">
        <f>SUMIFS(Data!$B$2:$B$100,Data!$A$2:$A$100,AH$2,Data!$D$2:$D$100,$C16)</f>
        <v>0</v>
      </c>
      <c r="AI16" s="218">
        <f t="shared" si="2"/>
        <v>0</v>
      </c>
    </row>
    <row r="17">
      <c r="A17" s="72"/>
      <c r="B17" s="16" t="s">
        <v>928</v>
      </c>
      <c r="C17" s="189" t="s">
        <v>26</v>
      </c>
      <c r="D17" s="39">
        <f>SUMIFS(Data!$B$2:$B$100,Data!$A$2:$A$100,D$2,Data!$D$2:$D$100,$C17)</f>
        <v>0</v>
      </c>
      <c r="E17" s="39">
        <f>SUMIFS(Data!$B$2:$B$100,Data!$A$2:$A$100,E$2,Data!$D$2:$D$100,$C17)</f>
        <v>6</v>
      </c>
      <c r="F17" s="39">
        <f>SUMIFS(Data!$B$2:$B$100,Data!$A$2:$A$100,F$2,Data!$D$2:$D$100,$C17)</f>
        <v>0</v>
      </c>
      <c r="G17" s="39">
        <f>SUMIFS(Data!$B$2:$B$100,Data!$A$2:$A$100,G$2,Data!$D$2:$D$100,$C17)</f>
        <v>0</v>
      </c>
      <c r="H17" s="39">
        <f>SUMIFS(Data!$B$2:$B$100,Data!$A$2:$A$100,H$2,Data!$D$2:$D$100,$C17)</f>
        <v>0</v>
      </c>
      <c r="I17" s="39">
        <f>SUMIFS(Data!$B$2:$B$100,Data!$A$2:$A$100,I$2,Data!$D$2:$D$100,$C17)</f>
        <v>0</v>
      </c>
      <c r="J17" s="39">
        <f>SUMIFS(Data!$B$2:$B$100,Data!$A$2:$A$100,J$2,Data!$D$2:$D$100,$C17)</f>
        <v>0</v>
      </c>
      <c r="K17" s="39">
        <f>SUMIFS(Data!$B$2:$B$100,Data!$A$2:$A$100,K$2,Data!$D$2:$D$100,$C17)</f>
        <v>0</v>
      </c>
      <c r="L17" s="39">
        <f>SUMIFS(Data!$B$2:$B$100,Data!$A$2:$A$100,L$2,Data!$D$2:$D$100,$C17)</f>
        <v>0</v>
      </c>
      <c r="M17" s="39">
        <f>SUMIFS(Data!$B$2:$B$100,Data!$A$2:$A$100,M$2,Data!$D$2:$D$100,$C17)</f>
        <v>0</v>
      </c>
      <c r="N17" s="39">
        <f>SUMIFS(Data!$B$2:$B$100,Data!$A$2:$A$100,N$2,Data!$D$2:$D$100,$C17)</f>
        <v>0</v>
      </c>
      <c r="O17" s="39">
        <f>SUMIFS(Data!$B$2:$B$100,Data!$A$2:$A$100,O$2,Data!$D$2:$D$100,$C17)</f>
        <v>0</v>
      </c>
      <c r="P17" s="39">
        <f>SUMIFS(Data!$B$2:$B$100,Data!$A$2:$A$100,P$2,Data!$D$2:$D$100,$C17)</f>
        <v>0</v>
      </c>
      <c r="Q17" s="39">
        <f>SUMIFS(Data!$B$2:$B$100,Data!$A$2:$A$100,Q$2,Data!$D$2:$D$100,$C17)</f>
        <v>0</v>
      </c>
      <c r="R17" s="39">
        <f>SUMIFS(Data!$B$2:$B$100,Data!$A$2:$A$100,R$2,Data!$D$2:$D$100,$C17)</f>
        <v>16</v>
      </c>
      <c r="S17" s="39">
        <f>SUMIFS(Data!$B$2:$B$100,Data!$A$2:$A$100,S$2,Data!$D$2:$D$100,$C17)</f>
        <v>0</v>
      </c>
      <c r="T17" s="39">
        <f>SUMIFS(Data!$B$2:$B$100,Data!$A$2:$A$100,T$2,Data!$D$2:$D$100,$C17)</f>
        <v>0</v>
      </c>
      <c r="U17" s="39">
        <f>SUMIFS(Data!$B$2:$B$100,Data!$A$2:$A$100,U$2,Data!$D$2:$D$100,$C17)</f>
        <v>0</v>
      </c>
      <c r="V17" s="39">
        <f>SUMIFS(Data!$B$2:$B$100,Data!$A$2:$A$100,V$2,Data!$D$2:$D$100,$C17)</f>
        <v>0</v>
      </c>
      <c r="W17" s="39">
        <f>SUMIFS(Data!$B$2:$B$100,Data!$A$2:$A$100,W$2,Data!$D$2:$D$100,$C17)</f>
        <v>0</v>
      </c>
      <c r="X17" s="39">
        <f>SUMIFS(Data!$B$2:$B$100,Data!$A$2:$A$100,X$2,Data!$D$2:$D$100,$C17)</f>
        <v>0</v>
      </c>
      <c r="Y17" s="39">
        <f>SUMIFS(Data!$B$2:$B$100,Data!$A$2:$A$100,Y$2,Data!$D$2:$D$100,$C17)</f>
        <v>0</v>
      </c>
      <c r="Z17" s="39">
        <f>SUMIFS(Data!$B$2:$B$100,Data!$A$2:$A$100,Z$2,Data!$D$2:$D$100,$C17)</f>
        <v>0</v>
      </c>
      <c r="AA17" s="39">
        <f>SUMIFS(Data!$B$2:$B$100,Data!$A$2:$A$100,AA$2,Data!$D$2:$D$100,$C17)</f>
        <v>0</v>
      </c>
      <c r="AB17" s="39">
        <f>SUMIFS(Data!$B$2:$B$100,Data!$A$2:$A$100,AB$2,Data!$D$2:$D$100,$C17)</f>
        <v>0</v>
      </c>
      <c r="AC17" s="39">
        <f>SUMIFS(Data!$B$2:$B$100,Data!$A$2:$A$100,AC$2,Data!$D$2:$D$100,$C17)</f>
        <v>0</v>
      </c>
      <c r="AD17" s="39">
        <f>SUMIFS(Data!$B$2:$B$100,Data!$A$2:$A$100,AD$2,Data!$D$2:$D$100,$C17)</f>
        <v>0</v>
      </c>
      <c r="AE17" s="39">
        <f>SUMIFS(Data!$B$2:$B$100,Data!$A$2:$A$100,AE$2,Data!$D$2:$D$100,$C17)</f>
        <v>0</v>
      </c>
      <c r="AF17" s="39">
        <f>SUMIFS(Data!$B$2:$B$100,Data!$A$2:$A$100,AF$2,Data!$D$2:$D$100,$C17)</f>
        <v>0</v>
      </c>
      <c r="AG17" s="39">
        <f>SUMIFS(Data!$B$2:$B$100,Data!$A$2:$A$100,AG$2,Data!$D$2:$D$100,$C17)</f>
        <v>0</v>
      </c>
      <c r="AH17" s="39">
        <f>SUMIFS(Data!$B$2:$B$100,Data!$A$2:$A$100,AH$2,Data!$D$2:$D$100,$C17)</f>
        <v>0</v>
      </c>
      <c r="AI17" s="218">
        <f t="shared" si="2"/>
        <v>22</v>
      </c>
    </row>
    <row r="18">
      <c r="A18" s="72"/>
      <c r="B18" s="16" t="s">
        <v>928</v>
      </c>
      <c r="C18" s="189" t="s">
        <v>92</v>
      </c>
      <c r="D18" s="39">
        <f>SUMIFS(Data!$B$2:$B$100,Data!$A$2:$A$100,D$2,Data!$D$2:$D$100,$C18)</f>
        <v>0</v>
      </c>
      <c r="E18" s="39">
        <f>SUMIFS(Data!$B$2:$B$100,Data!$A$2:$A$100,E$2,Data!$D$2:$D$100,$C18)</f>
        <v>0</v>
      </c>
      <c r="F18" s="39">
        <f>SUMIFS(Data!$B$2:$B$100,Data!$A$2:$A$100,F$2,Data!$D$2:$D$100,$C18)</f>
        <v>0</v>
      </c>
      <c r="G18" s="39">
        <f>SUMIFS(Data!$B$2:$B$100,Data!$A$2:$A$100,G$2,Data!$D$2:$D$100,$C18)</f>
        <v>0</v>
      </c>
      <c r="H18" s="39">
        <f>SUMIFS(Data!$B$2:$B$100,Data!$A$2:$A$100,H$2,Data!$D$2:$D$100,$C18)</f>
        <v>0</v>
      </c>
      <c r="I18" s="39">
        <f>SUMIFS(Data!$B$2:$B$100,Data!$A$2:$A$100,I$2,Data!$D$2:$D$100,$C18)</f>
        <v>0</v>
      </c>
      <c r="J18" s="39">
        <f>SUMIFS(Data!$B$2:$B$100,Data!$A$2:$A$100,J$2,Data!$D$2:$D$100,$C18)</f>
        <v>0</v>
      </c>
      <c r="K18" s="39">
        <f>SUMIFS(Data!$B$2:$B$100,Data!$A$2:$A$100,K$2,Data!$D$2:$D$100,$C18)</f>
        <v>0</v>
      </c>
      <c r="L18" s="39">
        <f>SUMIFS(Data!$B$2:$B$100,Data!$A$2:$A$100,L$2,Data!$D$2:$D$100,$C18)</f>
        <v>0</v>
      </c>
      <c r="M18" s="39">
        <f>SUMIFS(Data!$B$2:$B$100,Data!$A$2:$A$100,M$2,Data!$D$2:$D$100,$C18)</f>
        <v>0</v>
      </c>
      <c r="N18" s="39">
        <f>SUMIFS(Data!$B$2:$B$100,Data!$A$2:$A$100,N$2,Data!$D$2:$D$100,$C18)</f>
        <v>0</v>
      </c>
      <c r="O18" s="39">
        <f>SUMIFS(Data!$B$2:$B$100,Data!$A$2:$A$100,O$2,Data!$D$2:$D$100,$C18)</f>
        <v>0</v>
      </c>
      <c r="P18" s="39">
        <f>SUMIFS(Data!$B$2:$B$100,Data!$A$2:$A$100,P$2,Data!$D$2:$D$100,$C18)</f>
        <v>0</v>
      </c>
      <c r="Q18" s="39">
        <f>SUMIFS(Data!$B$2:$B$100,Data!$A$2:$A$100,Q$2,Data!$D$2:$D$100,$C18)</f>
        <v>0</v>
      </c>
      <c r="R18" s="39">
        <f>SUMIFS(Data!$B$2:$B$100,Data!$A$2:$A$100,R$2,Data!$D$2:$D$100,$C18)</f>
        <v>0</v>
      </c>
      <c r="S18" s="39">
        <f>SUMIFS(Data!$B$2:$B$100,Data!$A$2:$A$100,S$2,Data!$D$2:$D$100,$C18)</f>
        <v>0</v>
      </c>
      <c r="T18" s="39">
        <f>SUMIFS(Data!$B$2:$B$100,Data!$A$2:$A$100,T$2,Data!$D$2:$D$100,$C18)</f>
        <v>0</v>
      </c>
      <c r="U18" s="39">
        <f>SUMIFS(Data!$B$2:$B$100,Data!$A$2:$A$100,U$2,Data!$D$2:$D$100,$C18)</f>
        <v>0</v>
      </c>
      <c r="V18" s="39">
        <f>SUMIFS(Data!$B$2:$B$100,Data!$A$2:$A$100,V$2,Data!$D$2:$D$100,$C18)</f>
        <v>0</v>
      </c>
      <c r="W18" s="39">
        <f>SUMIFS(Data!$B$2:$B$100,Data!$A$2:$A$100,W$2,Data!$D$2:$D$100,$C18)</f>
        <v>0</v>
      </c>
      <c r="X18" s="39">
        <f>SUMIFS(Data!$B$2:$B$100,Data!$A$2:$A$100,X$2,Data!$D$2:$D$100,$C18)</f>
        <v>0</v>
      </c>
      <c r="Y18" s="39">
        <f>SUMIFS(Data!$B$2:$B$100,Data!$A$2:$A$100,Y$2,Data!$D$2:$D$100,$C18)</f>
        <v>0</v>
      </c>
      <c r="Z18" s="39">
        <f>SUMIFS(Data!$B$2:$B$100,Data!$A$2:$A$100,Z$2,Data!$D$2:$D$100,$C18)</f>
        <v>0</v>
      </c>
      <c r="AA18" s="39">
        <f>SUMIFS(Data!$B$2:$B$100,Data!$A$2:$A$100,AA$2,Data!$D$2:$D$100,$C18)</f>
        <v>0</v>
      </c>
      <c r="AB18" s="39">
        <f>SUMIFS(Data!$B$2:$B$100,Data!$A$2:$A$100,AB$2,Data!$D$2:$D$100,$C18)</f>
        <v>0</v>
      </c>
      <c r="AC18" s="39">
        <f>SUMIFS(Data!$B$2:$B$100,Data!$A$2:$A$100,AC$2,Data!$D$2:$D$100,$C18)</f>
        <v>0</v>
      </c>
      <c r="AD18" s="39">
        <f>SUMIFS(Data!$B$2:$B$100,Data!$A$2:$A$100,AD$2,Data!$D$2:$D$100,$C18)</f>
        <v>0</v>
      </c>
      <c r="AE18" s="39">
        <f>SUMIFS(Data!$B$2:$B$100,Data!$A$2:$A$100,AE$2,Data!$D$2:$D$100,$C18)</f>
        <v>0</v>
      </c>
      <c r="AF18" s="39">
        <f>SUMIFS(Data!$B$2:$B$100,Data!$A$2:$A$100,AF$2,Data!$D$2:$D$100,$C18)</f>
        <v>0</v>
      </c>
      <c r="AG18" s="39">
        <f>SUMIFS(Data!$B$2:$B$100,Data!$A$2:$A$100,AG$2,Data!$D$2:$D$100,$C18)</f>
        <v>0</v>
      </c>
      <c r="AH18" s="39">
        <f>SUMIFS(Data!$B$2:$B$100,Data!$A$2:$A$100,AH$2,Data!$D$2:$D$100,$C18)</f>
        <v>0</v>
      </c>
      <c r="AI18" s="218">
        <f t="shared" si="2"/>
        <v>0</v>
      </c>
    </row>
    <row r="19">
      <c r="A19" s="72"/>
      <c r="B19" s="16" t="s">
        <v>928</v>
      </c>
      <c r="C19" s="189" t="s">
        <v>93</v>
      </c>
      <c r="D19" s="39">
        <f>SUMIFS(Data!$B$2:$B$100,Data!$A$2:$A$100,D$2,Data!$D$2:$D$100,$C19)</f>
        <v>0</v>
      </c>
      <c r="E19" s="39">
        <f>SUMIFS(Data!$B$2:$B$100,Data!$A$2:$A$100,E$2,Data!$D$2:$D$100,$C19)</f>
        <v>0</v>
      </c>
      <c r="F19" s="39">
        <f>SUMIFS(Data!$B$2:$B$100,Data!$A$2:$A$100,F$2,Data!$D$2:$D$100,$C19)</f>
        <v>0</v>
      </c>
      <c r="G19" s="39">
        <f>SUMIFS(Data!$B$2:$B$100,Data!$A$2:$A$100,G$2,Data!$D$2:$D$100,$C19)</f>
        <v>0</v>
      </c>
      <c r="H19" s="39">
        <f>SUMIFS(Data!$B$2:$B$100,Data!$A$2:$A$100,H$2,Data!$D$2:$D$100,$C19)</f>
        <v>0</v>
      </c>
      <c r="I19" s="39">
        <f>SUMIFS(Data!$B$2:$B$100,Data!$A$2:$A$100,I$2,Data!$D$2:$D$100,$C19)</f>
        <v>0</v>
      </c>
      <c r="J19" s="39">
        <f>SUMIFS(Data!$B$2:$B$100,Data!$A$2:$A$100,J$2,Data!$D$2:$D$100,$C19)</f>
        <v>0</v>
      </c>
      <c r="K19" s="39">
        <f>SUMIFS(Data!$B$2:$B$100,Data!$A$2:$A$100,K$2,Data!$D$2:$D$100,$C19)</f>
        <v>0</v>
      </c>
      <c r="L19" s="39">
        <f>SUMIFS(Data!$B$2:$B$100,Data!$A$2:$A$100,L$2,Data!$D$2:$D$100,$C19)</f>
        <v>0</v>
      </c>
      <c r="M19" s="39">
        <f>SUMIFS(Data!$B$2:$B$100,Data!$A$2:$A$100,M$2,Data!$D$2:$D$100,$C19)</f>
        <v>0</v>
      </c>
      <c r="N19" s="39">
        <f>SUMIFS(Data!$B$2:$B$100,Data!$A$2:$A$100,N$2,Data!$D$2:$D$100,$C19)</f>
        <v>0</v>
      </c>
      <c r="O19" s="39">
        <f>SUMIFS(Data!$B$2:$B$100,Data!$A$2:$A$100,O$2,Data!$D$2:$D$100,$C19)</f>
        <v>0</v>
      </c>
      <c r="P19" s="39">
        <f>SUMIFS(Data!$B$2:$B$100,Data!$A$2:$A$100,P$2,Data!$D$2:$D$100,$C19)</f>
        <v>0</v>
      </c>
      <c r="Q19" s="39">
        <f>SUMIFS(Data!$B$2:$B$100,Data!$A$2:$A$100,Q$2,Data!$D$2:$D$100,$C19)</f>
        <v>0</v>
      </c>
      <c r="R19" s="39">
        <f>SUMIFS(Data!$B$2:$B$100,Data!$A$2:$A$100,R$2,Data!$D$2:$D$100,$C19)</f>
        <v>0</v>
      </c>
      <c r="S19" s="39">
        <f>SUMIFS(Data!$B$2:$B$100,Data!$A$2:$A$100,S$2,Data!$D$2:$D$100,$C19)</f>
        <v>0</v>
      </c>
      <c r="T19" s="39">
        <f>SUMIFS(Data!$B$2:$B$100,Data!$A$2:$A$100,T$2,Data!$D$2:$D$100,$C19)</f>
        <v>0</v>
      </c>
      <c r="U19" s="39">
        <f>SUMIFS(Data!$B$2:$B$100,Data!$A$2:$A$100,U$2,Data!$D$2:$D$100,$C19)</f>
        <v>0</v>
      </c>
      <c r="V19" s="39">
        <f>SUMIFS(Data!$B$2:$B$100,Data!$A$2:$A$100,V$2,Data!$D$2:$D$100,$C19)</f>
        <v>0</v>
      </c>
      <c r="W19" s="39">
        <f>SUMIFS(Data!$B$2:$B$100,Data!$A$2:$A$100,W$2,Data!$D$2:$D$100,$C19)</f>
        <v>0</v>
      </c>
      <c r="X19" s="39">
        <f>SUMIFS(Data!$B$2:$B$100,Data!$A$2:$A$100,X$2,Data!$D$2:$D$100,$C19)</f>
        <v>0</v>
      </c>
      <c r="Y19" s="39">
        <f>SUMIFS(Data!$B$2:$B$100,Data!$A$2:$A$100,Y$2,Data!$D$2:$D$100,$C19)</f>
        <v>0</v>
      </c>
      <c r="Z19" s="39">
        <f>SUMIFS(Data!$B$2:$B$100,Data!$A$2:$A$100,Z$2,Data!$D$2:$D$100,$C19)</f>
        <v>0</v>
      </c>
      <c r="AA19" s="39">
        <f>SUMIFS(Data!$B$2:$B$100,Data!$A$2:$A$100,AA$2,Data!$D$2:$D$100,$C19)</f>
        <v>0</v>
      </c>
      <c r="AB19" s="39">
        <f>SUMIFS(Data!$B$2:$B$100,Data!$A$2:$A$100,AB$2,Data!$D$2:$D$100,$C19)</f>
        <v>0</v>
      </c>
      <c r="AC19" s="39">
        <f>SUMIFS(Data!$B$2:$B$100,Data!$A$2:$A$100,AC$2,Data!$D$2:$D$100,$C19)</f>
        <v>0</v>
      </c>
      <c r="AD19" s="39">
        <f>SUMIFS(Data!$B$2:$B$100,Data!$A$2:$A$100,AD$2,Data!$D$2:$D$100,$C19)</f>
        <v>0</v>
      </c>
      <c r="AE19" s="39">
        <f>SUMIFS(Data!$B$2:$B$100,Data!$A$2:$A$100,AE$2,Data!$D$2:$D$100,$C19)</f>
        <v>0</v>
      </c>
      <c r="AF19" s="39">
        <f>SUMIFS(Data!$B$2:$B$100,Data!$A$2:$A$100,AF$2,Data!$D$2:$D$100,$C19)</f>
        <v>0</v>
      </c>
      <c r="AG19" s="39">
        <f>SUMIFS(Data!$B$2:$B$100,Data!$A$2:$A$100,AG$2,Data!$D$2:$D$100,$C19)</f>
        <v>0</v>
      </c>
      <c r="AH19" s="39">
        <f>SUMIFS(Data!$B$2:$B$100,Data!$A$2:$A$100,AH$2,Data!$D$2:$D$100,$C19)</f>
        <v>0</v>
      </c>
      <c r="AI19" s="218">
        <f t="shared" si="2"/>
        <v>0</v>
      </c>
    </row>
    <row r="20">
      <c r="A20" s="72"/>
      <c r="B20" s="16" t="s">
        <v>928</v>
      </c>
      <c r="C20" s="189" t="s">
        <v>60</v>
      </c>
      <c r="D20" s="39">
        <f>SUMIFS(Data!$B$2:$B$100,Data!$A$2:$A$100,D$2,Data!$D$2:$D$100,$C20)</f>
        <v>0</v>
      </c>
      <c r="E20" s="39">
        <f>SUMIFS(Data!$B$2:$B$100,Data!$A$2:$A$100,E$2,Data!$D$2:$D$100,$C20)</f>
        <v>0</v>
      </c>
      <c r="F20" s="39">
        <f>SUMIFS(Data!$B$2:$B$100,Data!$A$2:$A$100,F$2,Data!$D$2:$D$100,$C20)</f>
        <v>0</v>
      </c>
      <c r="G20" s="39">
        <f>SUMIFS(Data!$B$2:$B$100,Data!$A$2:$A$100,G$2,Data!$D$2:$D$100,$C20)</f>
        <v>0</v>
      </c>
      <c r="H20" s="39">
        <f>SUMIFS(Data!$B$2:$B$100,Data!$A$2:$A$100,H$2,Data!$D$2:$D$100,$C20)</f>
        <v>0</v>
      </c>
      <c r="I20" s="39">
        <f>SUMIFS(Data!$B$2:$B$100,Data!$A$2:$A$100,I$2,Data!$D$2:$D$100,$C20)</f>
        <v>0</v>
      </c>
      <c r="J20" s="39">
        <f>SUMIFS(Data!$B$2:$B$100,Data!$A$2:$A$100,J$2,Data!$D$2:$D$100,$C20)</f>
        <v>0</v>
      </c>
      <c r="K20" s="39">
        <f>SUMIFS(Data!$B$2:$B$100,Data!$A$2:$A$100,K$2,Data!$D$2:$D$100,$C20)</f>
        <v>0</v>
      </c>
      <c r="L20" s="39">
        <f>SUMIFS(Data!$B$2:$B$100,Data!$A$2:$A$100,L$2,Data!$D$2:$D$100,$C20)</f>
        <v>0</v>
      </c>
      <c r="M20" s="39">
        <f>SUMIFS(Data!$B$2:$B$100,Data!$A$2:$A$100,M$2,Data!$D$2:$D$100,$C20)</f>
        <v>0</v>
      </c>
      <c r="N20" s="39">
        <f>SUMIFS(Data!$B$2:$B$100,Data!$A$2:$A$100,N$2,Data!$D$2:$D$100,$C20)</f>
        <v>0</v>
      </c>
      <c r="O20" s="39">
        <f>SUMIFS(Data!$B$2:$B$100,Data!$A$2:$A$100,O$2,Data!$D$2:$D$100,$C20)</f>
        <v>0</v>
      </c>
      <c r="P20" s="39">
        <f>SUMIFS(Data!$B$2:$B$100,Data!$A$2:$A$100,P$2,Data!$D$2:$D$100,$C20)</f>
        <v>0</v>
      </c>
      <c r="Q20" s="39">
        <f>SUMIFS(Data!$B$2:$B$100,Data!$A$2:$A$100,Q$2,Data!$D$2:$D$100,$C20)</f>
        <v>0</v>
      </c>
      <c r="R20" s="39">
        <f>SUMIFS(Data!$B$2:$B$100,Data!$A$2:$A$100,R$2,Data!$D$2:$D$100,$C20)</f>
        <v>0</v>
      </c>
      <c r="S20" s="39">
        <f>SUMIFS(Data!$B$2:$B$100,Data!$A$2:$A$100,S$2,Data!$D$2:$D$100,$C20)</f>
        <v>0</v>
      </c>
      <c r="T20" s="39">
        <f>SUMIFS(Data!$B$2:$B$100,Data!$A$2:$A$100,T$2,Data!$D$2:$D$100,$C20)</f>
        <v>0</v>
      </c>
      <c r="U20" s="39">
        <f>SUMIFS(Data!$B$2:$B$100,Data!$A$2:$A$100,U$2,Data!$D$2:$D$100,$C20)</f>
        <v>21</v>
      </c>
      <c r="V20" s="39">
        <f>SUMIFS(Data!$B$2:$B$100,Data!$A$2:$A$100,V$2,Data!$D$2:$D$100,$C20)</f>
        <v>0</v>
      </c>
      <c r="W20" s="39">
        <f>SUMIFS(Data!$B$2:$B$100,Data!$A$2:$A$100,W$2,Data!$D$2:$D$100,$C20)</f>
        <v>0</v>
      </c>
      <c r="X20" s="39">
        <f>SUMIFS(Data!$B$2:$B$100,Data!$A$2:$A$100,X$2,Data!$D$2:$D$100,$C20)</f>
        <v>0</v>
      </c>
      <c r="Y20" s="39">
        <f>SUMIFS(Data!$B$2:$B$100,Data!$A$2:$A$100,Y$2,Data!$D$2:$D$100,$C20)</f>
        <v>0</v>
      </c>
      <c r="Z20" s="39">
        <f>SUMIFS(Data!$B$2:$B$100,Data!$A$2:$A$100,Z$2,Data!$D$2:$D$100,$C20)</f>
        <v>0</v>
      </c>
      <c r="AA20" s="39">
        <f>SUMIFS(Data!$B$2:$B$100,Data!$A$2:$A$100,AA$2,Data!$D$2:$D$100,$C20)</f>
        <v>0</v>
      </c>
      <c r="AB20" s="39">
        <f>SUMIFS(Data!$B$2:$B$100,Data!$A$2:$A$100,AB$2,Data!$D$2:$D$100,$C20)</f>
        <v>21</v>
      </c>
      <c r="AC20" s="39">
        <f>SUMIFS(Data!$B$2:$B$100,Data!$A$2:$A$100,AC$2,Data!$D$2:$D$100,$C20)</f>
        <v>0</v>
      </c>
      <c r="AD20" s="39">
        <f>SUMIFS(Data!$B$2:$B$100,Data!$A$2:$A$100,AD$2,Data!$D$2:$D$100,$C20)</f>
        <v>0</v>
      </c>
      <c r="AE20" s="39">
        <f>SUMIFS(Data!$B$2:$B$100,Data!$A$2:$A$100,AE$2,Data!$D$2:$D$100,$C20)</f>
        <v>0</v>
      </c>
      <c r="AF20" s="39">
        <f>SUMIFS(Data!$B$2:$B$100,Data!$A$2:$A$100,AF$2,Data!$D$2:$D$100,$C20)</f>
        <v>0</v>
      </c>
      <c r="AG20" s="39">
        <f>SUMIFS(Data!$B$2:$B$100,Data!$A$2:$A$100,AG$2,Data!$D$2:$D$100,$C20)</f>
        <v>0</v>
      </c>
      <c r="AH20" s="39">
        <f>SUMIFS(Data!$B$2:$B$100,Data!$A$2:$A$100,AH$2,Data!$D$2:$D$100,$C20)</f>
        <v>0</v>
      </c>
      <c r="AI20" s="218">
        <f t="shared" si="2"/>
        <v>42</v>
      </c>
    </row>
    <row r="21">
      <c r="A21" s="72"/>
      <c r="B21" s="16" t="s">
        <v>931</v>
      </c>
      <c r="C21" s="195" t="s">
        <v>44</v>
      </c>
      <c r="D21" s="39">
        <f>SUMIFS(Data!$B$2:$B$100,Data!$A$2:$A$100,D$2,Data!$D$2:$D$100,$C21)</f>
        <v>0</v>
      </c>
      <c r="E21" s="39">
        <f>SUMIFS(Data!$B$2:$B$100,Data!$A$2:$A$100,E$2,Data!$D$2:$D$100,$C21)</f>
        <v>0</v>
      </c>
      <c r="F21" s="39">
        <f>SUMIFS(Data!$B$2:$B$100,Data!$A$2:$A$100,F$2,Data!$D$2:$D$100,$C21)</f>
        <v>0</v>
      </c>
      <c r="G21" s="39">
        <f>SUMIFS(Data!$B$2:$B$100,Data!$A$2:$A$100,G$2,Data!$D$2:$D$100,$C21)</f>
        <v>0</v>
      </c>
      <c r="H21" s="39">
        <f>SUMIFS(Data!$B$2:$B$100,Data!$A$2:$A$100,H$2,Data!$D$2:$D$100,$C21)</f>
        <v>0</v>
      </c>
      <c r="I21" s="39">
        <f>SUMIFS(Data!$B$2:$B$100,Data!$A$2:$A$100,I$2,Data!$D$2:$D$100,$C21)</f>
        <v>0</v>
      </c>
      <c r="J21" s="39">
        <f>SUMIFS(Data!$B$2:$B$100,Data!$A$2:$A$100,J$2,Data!$D$2:$D$100,$C21)</f>
        <v>0</v>
      </c>
      <c r="K21" s="39">
        <f>SUMIFS(Data!$B$2:$B$100,Data!$A$2:$A$100,K$2,Data!$D$2:$D$100,$C21)</f>
        <v>0</v>
      </c>
      <c r="L21" s="39">
        <f>SUMIFS(Data!$B$2:$B$100,Data!$A$2:$A$100,L$2,Data!$D$2:$D$100,$C21)</f>
        <v>0</v>
      </c>
      <c r="M21" s="39">
        <f>SUMIFS(Data!$B$2:$B$100,Data!$A$2:$A$100,M$2,Data!$D$2:$D$100,$C21)</f>
        <v>52</v>
      </c>
      <c r="N21" s="39">
        <f>SUMIFS(Data!$B$2:$B$100,Data!$A$2:$A$100,N$2,Data!$D$2:$D$100,$C21)</f>
        <v>0</v>
      </c>
      <c r="O21" s="39">
        <f>SUMIFS(Data!$B$2:$B$100,Data!$A$2:$A$100,O$2,Data!$D$2:$D$100,$C21)</f>
        <v>0</v>
      </c>
      <c r="P21" s="39">
        <f>SUMIFS(Data!$B$2:$B$100,Data!$A$2:$A$100,P$2,Data!$D$2:$D$100,$C21)</f>
        <v>0</v>
      </c>
      <c r="Q21" s="39">
        <f>SUMIFS(Data!$B$2:$B$100,Data!$A$2:$A$100,Q$2,Data!$D$2:$D$100,$C21)</f>
        <v>0</v>
      </c>
      <c r="R21" s="39">
        <f>SUMIFS(Data!$B$2:$B$100,Data!$A$2:$A$100,R$2,Data!$D$2:$D$100,$C21)</f>
        <v>0</v>
      </c>
      <c r="S21" s="39">
        <f>SUMIFS(Data!$B$2:$B$100,Data!$A$2:$A$100,S$2,Data!$D$2:$D$100,$C21)</f>
        <v>0</v>
      </c>
      <c r="T21" s="39">
        <f>SUMIFS(Data!$B$2:$B$100,Data!$A$2:$A$100,T$2,Data!$D$2:$D$100,$C21)</f>
        <v>0</v>
      </c>
      <c r="U21" s="39">
        <f>SUMIFS(Data!$B$2:$B$100,Data!$A$2:$A$100,U$2,Data!$D$2:$D$100,$C21)</f>
        <v>47</v>
      </c>
      <c r="V21" s="39">
        <f>SUMIFS(Data!$B$2:$B$100,Data!$A$2:$A$100,V$2,Data!$D$2:$D$100,$C21)</f>
        <v>0</v>
      </c>
      <c r="W21" s="39">
        <f>SUMIFS(Data!$B$2:$B$100,Data!$A$2:$A$100,W$2,Data!$D$2:$D$100,$C21)</f>
        <v>0</v>
      </c>
      <c r="X21" s="39">
        <f>SUMIFS(Data!$B$2:$B$100,Data!$A$2:$A$100,X$2,Data!$D$2:$D$100,$C21)</f>
        <v>0</v>
      </c>
      <c r="Y21" s="39">
        <f>SUMIFS(Data!$B$2:$B$100,Data!$A$2:$A$100,Y$2,Data!$D$2:$D$100,$C21)</f>
        <v>0</v>
      </c>
      <c r="Z21" s="39">
        <f>SUMIFS(Data!$B$2:$B$100,Data!$A$2:$A$100,Z$2,Data!$D$2:$D$100,$C21)</f>
        <v>0</v>
      </c>
      <c r="AA21" s="39">
        <f>SUMIFS(Data!$B$2:$B$100,Data!$A$2:$A$100,AA$2,Data!$D$2:$D$100,$C21)</f>
        <v>0</v>
      </c>
      <c r="AB21" s="39">
        <f>SUMIFS(Data!$B$2:$B$100,Data!$A$2:$A$100,AB$2,Data!$D$2:$D$100,$C21)</f>
        <v>53</v>
      </c>
      <c r="AC21" s="39">
        <f>SUMIFS(Data!$B$2:$B$100,Data!$A$2:$A$100,AC$2,Data!$D$2:$D$100,$C21)</f>
        <v>0</v>
      </c>
      <c r="AD21" s="39">
        <f>SUMIFS(Data!$B$2:$B$100,Data!$A$2:$A$100,AD$2,Data!$D$2:$D$100,$C21)</f>
        <v>0</v>
      </c>
      <c r="AE21" s="39">
        <f>SUMIFS(Data!$B$2:$B$100,Data!$A$2:$A$100,AE$2,Data!$D$2:$D$100,$C21)</f>
        <v>0</v>
      </c>
      <c r="AF21" s="39">
        <f>SUMIFS(Data!$B$2:$B$100,Data!$A$2:$A$100,AF$2,Data!$D$2:$D$100,$C21)</f>
        <v>0</v>
      </c>
      <c r="AG21" s="39">
        <f>SUMIFS(Data!$B$2:$B$100,Data!$A$2:$A$100,AG$2,Data!$D$2:$D$100,$C21)</f>
        <v>0</v>
      </c>
      <c r="AH21" s="39">
        <f>SUMIFS(Data!$B$2:$B$100,Data!$A$2:$A$100,AH$2,Data!$D$2:$D$100,$C21)</f>
        <v>50</v>
      </c>
      <c r="AI21" s="218">
        <f t="shared" si="2"/>
        <v>202</v>
      </c>
    </row>
    <row r="22">
      <c r="A22" s="72"/>
      <c r="B22" s="16" t="s">
        <v>931</v>
      </c>
      <c r="C22" s="195" t="s">
        <v>49</v>
      </c>
      <c r="D22" s="39">
        <f>SUMIFS(Data!$B$2:$B$100,Data!$A$2:$A$100,D$2,Data!$D$2:$D$100,$C22)</f>
        <v>0</v>
      </c>
      <c r="E22" s="39">
        <f>SUMIFS(Data!$B$2:$B$100,Data!$A$2:$A$100,E$2,Data!$D$2:$D$100,$C22)</f>
        <v>0</v>
      </c>
      <c r="F22" s="39">
        <f>SUMIFS(Data!$B$2:$B$100,Data!$A$2:$A$100,F$2,Data!$D$2:$D$100,$C22)</f>
        <v>0</v>
      </c>
      <c r="G22" s="39">
        <f>SUMIFS(Data!$B$2:$B$100,Data!$A$2:$A$100,G$2,Data!$D$2:$D$100,$C22)</f>
        <v>0</v>
      </c>
      <c r="H22" s="39">
        <f>SUMIFS(Data!$B$2:$B$100,Data!$A$2:$A$100,H$2,Data!$D$2:$D$100,$C22)</f>
        <v>0</v>
      </c>
      <c r="I22" s="39">
        <f>SUMIFS(Data!$B$2:$B$100,Data!$A$2:$A$100,I$2,Data!$D$2:$D$100,$C22)</f>
        <v>0</v>
      </c>
      <c r="J22" s="39">
        <f>SUMIFS(Data!$B$2:$B$100,Data!$A$2:$A$100,J$2,Data!$D$2:$D$100,$C22)</f>
        <v>0</v>
      </c>
      <c r="K22" s="39">
        <f>SUMIFS(Data!$B$2:$B$100,Data!$A$2:$A$100,K$2,Data!$D$2:$D$100,$C22)</f>
        <v>0</v>
      </c>
      <c r="L22" s="39">
        <f>SUMIFS(Data!$B$2:$B$100,Data!$A$2:$A$100,L$2,Data!$D$2:$D$100,$C22)</f>
        <v>0</v>
      </c>
      <c r="M22" s="39">
        <f>SUMIFS(Data!$B$2:$B$100,Data!$A$2:$A$100,M$2,Data!$D$2:$D$100,$C22)</f>
        <v>0</v>
      </c>
      <c r="N22" s="39">
        <f>SUMIFS(Data!$B$2:$B$100,Data!$A$2:$A$100,N$2,Data!$D$2:$D$100,$C22)</f>
        <v>0</v>
      </c>
      <c r="O22" s="39">
        <f>SUMIFS(Data!$B$2:$B$100,Data!$A$2:$A$100,O$2,Data!$D$2:$D$100,$C22)</f>
        <v>0</v>
      </c>
      <c r="P22" s="39">
        <f>SUMIFS(Data!$B$2:$B$100,Data!$A$2:$A$100,P$2,Data!$D$2:$D$100,$C22)</f>
        <v>0</v>
      </c>
      <c r="Q22" s="39">
        <f>SUMIFS(Data!$B$2:$B$100,Data!$A$2:$A$100,Q$2,Data!$D$2:$D$100,$C22)</f>
        <v>3</v>
      </c>
      <c r="R22" s="39">
        <f>SUMIFS(Data!$B$2:$B$100,Data!$A$2:$A$100,R$2,Data!$D$2:$D$100,$C22)</f>
        <v>0</v>
      </c>
      <c r="S22" s="39">
        <f>SUMIFS(Data!$B$2:$B$100,Data!$A$2:$A$100,S$2,Data!$D$2:$D$100,$C22)</f>
        <v>0</v>
      </c>
      <c r="T22" s="39">
        <f>SUMIFS(Data!$B$2:$B$100,Data!$A$2:$A$100,T$2,Data!$D$2:$D$100,$C22)</f>
        <v>0</v>
      </c>
      <c r="U22" s="39">
        <f>SUMIFS(Data!$B$2:$B$100,Data!$A$2:$A$100,U$2,Data!$D$2:$D$100,$C22)</f>
        <v>0</v>
      </c>
      <c r="V22" s="39">
        <f>SUMIFS(Data!$B$2:$B$100,Data!$A$2:$A$100,V$2,Data!$D$2:$D$100,$C22)</f>
        <v>0</v>
      </c>
      <c r="W22" s="39">
        <f>SUMIFS(Data!$B$2:$B$100,Data!$A$2:$A$100,W$2,Data!$D$2:$D$100,$C22)</f>
        <v>0</v>
      </c>
      <c r="X22" s="39">
        <f>SUMIFS(Data!$B$2:$B$100,Data!$A$2:$A$100,X$2,Data!$D$2:$D$100,$C22)</f>
        <v>3</v>
      </c>
      <c r="Y22" s="39">
        <f>SUMIFS(Data!$B$2:$B$100,Data!$A$2:$A$100,Y$2,Data!$D$2:$D$100,$C22)</f>
        <v>0</v>
      </c>
      <c r="Z22" s="39">
        <f>SUMIFS(Data!$B$2:$B$100,Data!$A$2:$A$100,Z$2,Data!$D$2:$D$100,$C22)</f>
        <v>0</v>
      </c>
      <c r="AA22" s="39">
        <f>SUMIFS(Data!$B$2:$B$100,Data!$A$2:$A$100,AA$2,Data!$D$2:$D$100,$C22)</f>
        <v>0</v>
      </c>
      <c r="AB22" s="39">
        <f>SUMIFS(Data!$B$2:$B$100,Data!$A$2:$A$100,AB$2,Data!$D$2:$D$100,$C22)</f>
        <v>0</v>
      </c>
      <c r="AC22" s="39">
        <f>SUMIFS(Data!$B$2:$B$100,Data!$A$2:$A$100,AC$2,Data!$D$2:$D$100,$C22)</f>
        <v>0</v>
      </c>
      <c r="AD22" s="39">
        <f>SUMIFS(Data!$B$2:$B$100,Data!$A$2:$A$100,AD$2,Data!$D$2:$D$100,$C22)</f>
        <v>0</v>
      </c>
      <c r="AE22" s="39">
        <f>SUMIFS(Data!$B$2:$B$100,Data!$A$2:$A$100,AE$2,Data!$D$2:$D$100,$C22)</f>
        <v>83</v>
      </c>
      <c r="AF22" s="39">
        <f>SUMIFS(Data!$B$2:$B$100,Data!$A$2:$A$100,AF$2,Data!$D$2:$D$100,$C22)</f>
        <v>0</v>
      </c>
      <c r="AG22" s="39">
        <f>SUMIFS(Data!$B$2:$B$100,Data!$A$2:$A$100,AG$2,Data!$D$2:$D$100,$C22)</f>
        <v>0</v>
      </c>
      <c r="AH22" s="39">
        <f>SUMIFS(Data!$B$2:$B$100,Data!$A$2:$A$100,AH$2,Data!$D$2:$D$100,$C22)</f>
        <v>0</v>
      </c>
      <c r="AI22" s="218">
        <f t="shared" si="2"/>
        <v>89</v>
      </c>
    </row>
    <row r="23">
      <c r="A23" s="72"/>
      <c r="B23" s="16" t="s">
        <v>931</v>
      </c>
      <c r="C23" s="22" t="s">
        <v>933</v>
      </c>
      <c r="D23" s="39">
        <f>SUMIFS(Data!$B$2:$B$100,Data!$A$2:$A$100,D$2,Data!$D$2:$D$100,$C23)</f>
        <v>0</v>
      </c>
      <c r="E23" s="39">
        <f>SUMIFS(Data!$B$2:$B$100,Data!$A$2:$A$100,E$2,Data!$D$2:$D$100,$C23)</f>
        <v>0</v>
      </c>
      <c r="F23" s="39">
        <f>SUMIFS(Data!$B$2:$B$100,Data!$A$2:$A$100,F$2,Data!$D$2:$D$100,$C23)</f>
        <v>0</v>
      </c>
      <c r="G23" s="39">
        <f>SUMIFS(Data!$B$2:$B$100,Data!$A$2:$A$100,G$2,Data!$D$2:$D$100,$C23)</f>
        <v>0</v>
      </c>
      <c r="H23" s="39">
        <f>SUMIFS(Data!$B$2:$B$100,Data!$A$2:$A$100,H$2,Data!$D$2:$D$100,$C23)</f>
        <v>0</v>
      </c>
      <c r="I23" s="39">
        <f>SUMIFS(Data!$B$2:$B$100,Data!$A$2:$A$100,I$2,Data!$D$2:$D$100,$C23)</f>
        <v>0</v>
      </c>
      <c r="J23" s="39">
        <f>SUMIFS(Data!$B$2:$B$100,Data!$A$2:$A$100,J$2,Data!$D$2:$D$100,$C23)</f>
        <v>0</v>
      </c>
      <c r="K23" s="39">
        <f>SUMIFS(Data!$B$2:$B$100,Data!$A$2:$A$100,K$2,Data!$D$2:$D$100,$C23)</f>
        <v>0</v>
      </c>
      <c r="L23" s="39">
        <f>SUMIFS(Data!$B$2:$B$100,Data!$A$2:$A$100,L$2,Data!$D$2:$D$100,$C23)</f>
        <v>0</v>
      </c>
      <c r="M23" s="39">
        <f>SUMIFS(Data!$B$2:$B$100,Data!$A$2:$A$100,M$2,Data!$D$2:$D$100,$C23)</f>
        <v>0</v>
      </c>
      <c r="N23" s="39">
        <f>SUMIFS(Data!$B$2:$B$100,Data!$A$2:$A$100,N$2,Data!$D$2:$D$100,$C23)</f>
        <v>0</v>
      </c>
      <c r="O23" s="39">
        <f>SUMIFS(Data!$B$2:$B$100,Data!$A$2:$A$100,O$2,Data!$D$2:$D$100,$C23)</f>
        <v>0</v>
      </c>
      <c r="P23" s="39">
        <f>SUMIFS(Data!$B$2:$B$100,Data!$A$2:$A$100,P$2,Data!$D$2:$D$100,$C23)</f>
        <v>0</v>
      </c>
      <c r="Q23" s="39">
        <f>SUMIFS(Data!$B$2:$B$100,Data!$A$2:$A$100,Q$2,Data!$D$2:$D$100,$C23)</f>
        <v>0</v>
      </c>
      <c r="R23" s="39">
        <f>SUMIFS(Data!$B$2:$B$100,Data!$A$2:$A$100,R$2,Data!$D$2:$D$100,$C23)</f>
        <v>0</v>
      </c>
      <c r="S23" s="39">
        <f>SUMIFS(Data!$B$2:$B$100,Data!$A$2:$A$100,S$2,Data!$D$2:$D$100,$C23)</f>
        <v>0</v>
      </c>
      <c r="T23" s="39">
        <f>SUMIFS(Data!$B$2:$B$100,Data!$A$2:$A$100,T$2,Data!$D$2:$D$100,$C23)</f>
        <v>0</v>
      </c>
      <c r="U23" s="39">
        <f>SUMIFS(Data!$B$2:$B$100,Data!$A$2:$A$100,U$2,Data!$D$2:$D$100,$C23)</f>
        <v>0</v>
      </c>
      <c r="V23" s="39">
        <f>SUMIFS(Data!$B$2:$B$100,Data!$A$2:$A$100,V$2,Data!$D$2:$D$100,$C23)</f>
        <v>0</v>
      </c>
      <c r="W23" s="39">
        <f>SUMIFS(Data!$B$2:$B$100,Data!$A$2:$A$100,W$2,Data!$D$2:$D$100,$C23)</f>
        <v>0</v>
      </c>
      <c r="X23" s="39">
        <f>SUMIFS(Data!$B$2:$B$100,Data!$A$2:$A$100,X$2,Data!$D$2:$D$100,$C23)</f>
        <v>0</v>
      </c>
      <c r="Y23" s="39">
        <f>SUMIFS(Data!$B$2:$B$100,Data!$A$2:$A$100,Y$2,Data!$D$2:$D$100,$C23)</f>
        <v>0</v>
      </c>
      <c r="Z23" s="39">
        <f>SUMIFS(Data!$B$2:$B$100,Data!$A$2:$A$100,Z$2,Data!$D$2:$D$100,$C23)</f>
        <v>0</v>
      </c>
      <c r="AA23" s="39">
        <f>SUMIFS(Data!$B$2:$B$100,Data!$A$2:$A$100,AA$2,Data!$D$2:$D$100,$C23)</f>
        <v>0</v>
      </c>
      <c r="AB23" s="39">
        <f>SUMIFS(Data!$B$2:$B$100,Data!$A$2:$A$100,AB$2,Data!$D$2:$D$100,$C23)</f>
        <v>0</v>
      </c>
      <c r="AC23" s="39">
        <f>SUMIFS(Data!$B$2:$B$100,Data!$A$2:$A$100,AC$2,Data!$D$2:$D$100,$C23)</f>
        <v>0</v>
      </c>
      <c r="AD23" s="39">
        <f>SUMIFS(Data!$B$2:$B$100,Data!$A$2:$A$100,AD$2,Data!$D$2:$D$100,$C23)</f>
        <v>0</v>
      </c>
      <c r="AE23" s="39">
        <f>SUMIFS(Data!$B$2:$B$100,Data!$A$2:$A$100,AE$2,Data!$D$2:$D$100,$C23)</f>
        <v>0</v>
      </c>
      <c r="AF23" s="39">
        <f>SUMIFS(Data!$B$2:$B$100,Data!$A$2:$A$100,AF$2,Data!$D$2:$D$100,$C23)</f>
        <v>0</v>
      </c>
      <c r="AG23" s="39">
        <f>SUMIFS(Data!$B$2:$B$100,Data!$A$2:$A$100,AG$2,Data!$D$2:$D$100,$C23)</f>
        <v>0</v>
      </c>
      <c r="AH23" s="39">
        <f>SUMIFS(Data!$B$2:$B$100,Data!$A$2:$A$100,AH$2,Data!$D$2:$D$100,$C23)</f>
        <v>0</v>
      </c>
      <c r="AI23" s="218">
        <f t="shared" si="2"/>
        <v>0</v>
      </c>
    </row>
    <row r="24">
      <c r="A24" s="72"/>
      <c r="B24" s="16" t="s">
        <v>934</v>
      </c>
      <c r="C24" s="78" t="s">
        <v>9</v>
      </c>
      <c r="D24" s="39">
        <f>SUMIFS(Data!$B$2:$B$100,Data!$A$2:$A$100,D$2,Data!$D$2:$D$100,$C24)</f>
        <v>131</v>
      </c>
      <c r="E24" s="39">
        <f>SUMIFS(Data!$B$2:$B$100,Data!$A$2:$A$100,E$2,Data!$D$2:$D$100,$C24)</f>
        <v>200.67</v>
      </c>
      <c r="F24" s="39">
        <f>SUMIFS(Data!$B$2:$B$100,Data!$A$2:$A$100,F$2,Data!$D$2:$D$100,$C24)</f>
        <v>0</v>
      </c>
      <c r="G24" s="39">
        <f>SUMIFS(Data!$B$2:$B$100,Data!$A$2:$A$100,G$2,Data!$D$2:$D$100,$C24)</f>
        <v>0</v>
      </c>
      <c r="H24" s="39">
        <f>SUMIFS(Data!$B$2:$B$100,Data!$A$2:$A$100,H$2,Data!$D$2:$D$100,$C24)</f>
        <v>0</v>
      </c>
      <c r="I24" s="39">
        <f>SUMIFS(Data!$B$2:$B$100,Data!$A$2:$A$100,I$2,Data!$D$2:$D$100,$C24)</f>
        <v>0</v>
      </c>
      <c r="J24" s="39">
        <f>SUMIFS(Data!$B$2:$B$100,Data!$A$2:$A$100,J$2,Data!$D$2:$D$100,$C24)</f>
        <v>0</v>
      </c>
      <c r="K24" s="39">
        <f>SUMIFS(Data!$B$2:$B$100,Data!$A$2:$A$100,K$2,Data!$D$2:$D$100,$C24)</f>
        <v>0</v>
      </c>
      <c r="L24" s="39">
        <f>SUMIFS(Data!$B$2:$B$100,Data!$A$2:$A$100,L$2,Data!$D$2:$D$100,$C24)</f>
        <v>0</v>
      </c>
      <c r="M24" s="39">
        <f>SUMIFS(Data!$B$2:$B$100,Data!$A$2:$A$100,M$2,Data!$D$2:$D$100,$C24)</f>
        <v>0</v>
      </c>
      <c r="N24" s="39">
        <f>SUMIFS(Data!$B$2:$B$100,Data!$A$2:$A$100,N$2,Data!$D$2:$D$100,$C24)</f>
        <v>0</v>
      </c>
      <c r="O24" s="39">
        <f>SUMIFS(Data!$B$2:$B$100,Data!$A$2:$A$100,O$2,Data!$D$2:$D$100,$C24)</f>
        <v>0</v>
      </c>
      <c r="P24" s="39">
        <f>SUMIFS(Data!$B$2:$B$100,Data!$A$2:$A$100,P$2,Data!$D$2:$D$100,$C24)</f>
        <v>0</v>
      </c>
      <c r="Q24" s="39">
        <f>SUMIFS(Data!$B$2:$B$100,Data!$A$2:$A$100,Q$2,Data!$D$2:$D$100,$C24)</f>
        <v>0</v>
      </c>
      <c r="R24" s="39">
        <f>SUMIFS(Data!$B$2:$B$100,Data!$A$2:$A$100,R$2,Data!$D$2:$D$100,$C24)</f>
        <v>0</v>
      </c>
      <c r="S24" s="39">
        <f>SUMIFS(Data!$B$2:$B$100,Data!$A$2:$A$100,S$2,Data!$D$2:$D$100,$C24)</f>
        <v>0</v>
      </c>
      <c r="T24" s="39">
        <f>SUMIFS(Data!$B$2:$B$100,Data!$A$2:$A$100,T$2,Data!$D$2:$D$100,$C24)</f>
        <v>17</v>
      </c>
      <c r="U24" s="39">
        <f>SUMIFS(Data!$B$2:$B$100,Data!$A$2:$A$100,U$2,Data!$D$2:$D$100,$C24)</f>
        <v>0</v>
      </c>
      <c r="V24" s="39">
        <f>SUMIFS(Data!$B$2:$B$100,Data!$A$2:$A$100,V$2,Data!$D$2:$D$100,$C24)</f>
        <v>0</v>
      </c>
      <c r="W24" s="39">
        <f>SUMIFS(Data!$B$2:$B$100,Data!$A$2:$A$100,W$2,Data!$D$2:$D$100,$C24)</f>
        <v>0</v>
      </c>
      <c r="X24" s="39">
        <f>SUMIFS(Data!$B$2:$B$100,Data!$A$2:$A$100,X$2,Data!$D$2:$D$100,$C24)</f>
        <v>0</v>
      </c>
      <c r="Y24" s="39">
        <f>SUMIFS(Data!$B$2:$B$100,Data!$A$2:$A$100,Y$2,Data!$D$2:$D$100,$C24)</f>
        <v>0</v>
      </c>
      <c r="Z24" s="39">
        <f>SUMIFS(Data!$B$2:$B$100,Data!$A$2:$A$100,Z$2,Data!$D$2:$D$100,$C24)</f>
        <v>0</v>
      </c>
      <c r="AA24" s="39">
        <f>SUMIFS(Data!$B$2:$B$100,Data!$A$2:$A$100,AA$2,Data!$D$2:$D$100,$C24)</f>
        <v>0</v>
      </c>
      <c r="AB24" s="39">
        <f>SUMIFS(Data!$B$2:$B$100,Data!$A$2:$A$100,AB$2,Data!$D$2:$D$100,$C24)</f>
        <v>0</v>
      </c>
      <c r="AC24" s="39">
        <f>SUMIFS(Data!$B$2:$B$100,Data!$A$2:$A$100,AC$2,Data!$D$2:$D$100,$C24)</f>
        <v>0</v>
      </c>
      <c r="AD24" s="39">
        <f>SUMIFS(Data!$B$2:$B$100,Data!$A$2:$A$100,AD$2,Data!$D$2:$D$100,$C24)</f>
        <v>33</v>
      </c>
      <c r="AE24" s="39">
        <f>SUMIFS(Data!$B$2:$B$100,Data!$A$2:$A$100,AE$2,Data!$D$2:$D$100,$C24)</f>
        <v>0</v>
      </c>
      <c r="AF24" s="39">
        <f>SUMIFS(Data!$B$2:$B$100,Data!$A$2:$A$100,AF$2,Data!$D$2:$D$100,$C24)</f>
        <v>0</v>
      </c>
      <c r="AG24" s="39">
        <f>SUMIFS(Data!$B$2:$B$100,Data!$A$2:$A$100,AG$2,Data!$D$2:$D$100,$C24)</f>
        <v>7</v>
      </c>
      <c r="AH24" s="39">
        <f>SUMIFS(Data!$B$2:$B$100,Data!$A$2:$A$100,AH$2,Data!$D$2:$D$100,$C24)</f>
        <v>0</v>
      </c>
      <c r="AI24" s="218">
        <f t="shared" si="2"/>
        <v>388.67</v>
      </c>
    </row>
    <row r="25">
      <c r="A25" s="72"/>
      <c r="B25" s="16" t="s">
        <v>934</v>
      </c>
      <c r="C25" s="16" t="s">
        <v>936</v>
      </c>
      <c r="D25" s="39">
        <f>SUMIFS(Data!$B$2:$B$100,Data!$A$2:$A$100,D$2,Data!$D$2:$D$100,$C25)</f>
        <v>0</v>
      </c>
      <c r="E25" s="39">
        <f>SUMIFS(Data!$B$2:$B$100,Data!$A$2:$A$100,E$2,Data!$D$2:$D$100,$C25)</f>
        <v>0</v>
      </c>
      <c r="F25" s="39">
        <f>SUMIFS(Data!$B$2:$B$100,Data!$A$2:$A$100,F$2,Data!$D$2:$D$100,$C25)</f>
        <v>0</v>
      </c>
      <c r="G25" s="39">
        <f>SUMIFS(Data!$B$2:$B$100,Data!$A$2:$A$100,G$2,Data!$D$2:$D$100,$C25)</f>
        <v>0</v>
      </c>
      <c r="H25" s="39">
        <f>SUMIFS(Data!$B$2:$B$100,Data!$A$2:$A$100,H$2,Data!$D$2:$D$100,$C25)</f>
        <v>0</v>
      </c>
      <c r="I25" s="39">
        <f>SUMIFS(Data!$B$2:$B$100,Data!$A$2:$A$100,I$2,Data!$D$2:$D$100,$C25)</f>
        <v>0</v>
      </c>
      <c r="J25" s="39">
        <f>SUMIFS(Data!$B$2:$B$100,Data!$A$2:$A$100,J$2,Data!$D$2:$D$100,$C25)</f>
        <v>0</v>
      </c>
      <c r="K25" s="39">
        <f>SUMIFS(Data!$B$2:$B$100,Data!$A$2:$A$100,K$2,Data!$D$2:$D$100,$C25)</f>
        <v>0</v>
      </c>
      <c r="L25" s="39">
        <f>SUMIFS(Data!$B$2:$B$100,Data!$A$2:$A$100,L$2,Data!$D$2:$D$100,$C25)</f>
        <v>0</v>
      </c>
      <c r="M25" s="39">
        <f>SUMIFS(Data!$B$2:$B$100,Data!$A$2:$A$100,M$2,Data!$D$2:$D$100,$C25)</f>
        <v>0</v>
      </c>
      <c r="N25" s="39">
        <f>SUMIFS(Data!$B$2:$B$100,Data!$A$2:$A$100,N$2,Data!$D$2:$D$100,$C25)</f>
        <v>0</v>
      </c>
      <c r="O25" s="39">
        <f>SUMIFS(Data!$B$2:$B$100,Data!$A$2:$A$100,O$2,Data!$D$2:$D$100,$C25)</f>
        <v>0</v>
      </c>
      <c r="P25" s="39">
        <f>SUMIFS(Data!$B$2:$B$100,Data!$A$2:$A$100,P$2,Data!$D$2:$D$100,$C25)</f>
        <v>0</v>
      </c>
      <c r="Q25" s="39">
        <f>SUMIFS(Data!$B$2:$B$100,Data!$A$2:$A$100,Q$2,Data!$D$2:$D$100,$C25)</f>
        <v>0</v>
      </c>
      <c r="R25" s="39">
        <f>SUMIFS(Data!$B$2:$B$100,Data!$A$2:$A$100,R$2,Data!$D$2:$D$100,$C25)</f>
        <v>0</v>
      </c>
      <c r="S25" s="39">
        <f>SUMIFS(Data!$B$2:$B$100,Data!$A$2:$A$100,S$2,Data!$D$2:$D$100,$C25)</f>
        <v>0</v>
      </c>
      <c r="T25" s="39">
        <f>SUMIFS(Data!$B$2:$B$100,Data!$A$2:$A$100,T$2,Data!$D$2:$D$100,$C25)</f>
        <v>0</v>
      </c>
      <c r="U25" s="39">
        <f>SUMIFS(Data!$B$2:$B$100,Data!$A$2:$A$100,U$2,Data!$D$2:$D$100,$C25)</f>
        <v>0</v>
      </c>
      <c r="V25" s="39">
        <f>SUMIFS(Data!$B$2:$B$100,Data!$A$2:$A$100,V$2,Data!$D$2:$D$100,$C25)</f>
        <v>0</v>
      </c>
      <c r="W25" s="39">
        <f>SUMIFS(Data!$B$2:$B$100,Data!$A$2:$A$100,W$2,Data!$D$2:$D$100,$C25)</f>
        <v>0</v>
      </c>
      <c r="X25" s="39">
        <f>SUMIFS(Data!$B$2:$B$100,Data!$A$2:$A$100,X$2,Data!$D$2:$D$100,$C25)</f>
        <v>0</v>
      </c>
      <c r="Y25" s="39">
        <f>SUMIFS(Data!$B$2:$B$100,Data!$A$2:$A$100,Y$2,Data!$D$2:$D$100,$C25)</f>
        <v>0</v>
      </c>
      <c r="Z25" s="39">
        <f>SUMIFS(Data!$B$2:$B$100,Data!$A$2:$A$100,Z$2,Data!$D$2:$D$100,$C25)</f>
        <v>0</v>
      </c>
      <c r="AA25" s="39">
        <f>SUMIFS(Data!$B$2:$B$100,Data!$A$2:$A$100,AA$2,Data!$D$2:$D$100,$C25)</f>
        <v>0</v>
      </c>
      <c r="AB25" s="39">
        <f>SUMIFS(Data!$B$2:$B$100,Data!$A$2:$A$100,AB$2,Data!$D$2:$D$100,$C25)</f>
        <v>0</v>
      </c>
      <c r="AC25" s="39">
        <f>SUMIFS(Data!$B$2:$B$100,Data!$A$2:$A$100,AC$2,Data!$D$2:$D$100,$C25)</f>
        <v>0</v>
      </c>
      <c r="AD25" s="39">
        <f>SUMIFS(Data!$B$2:$B$100,Data!$A$2:$A$100,AD$2,Data!$D$2:$D$100,$C25)</f>
        <v>0</v>
      </c>
      <c r="AE25" s="39">
        <f>SUMIFS(Data!$B$2:$B$100,Data!$A$2:$A$100,AE$2,Data!$D$2:$D$100,$C25)</f>
        <v>0</v>
      </c>
      <c r="AF25" s="39">
        <f>SUMIFS(Data!$B$2:$B$100,Data!$A$2:$A$100,AF$2,Data!$D$2:$D$100,$C25)</f>
        <v>0</v>
      </c>
      <c r="AG25" s="39">
        <f>SUMIFS(Data!$B$2:$B$100,Data!$A$2:$A$100,AG$2,Data!$D$2:$D$100,$C25)</f>
        <v>0</v>
      </c>
      <c r="AH25" s="39">
        <f>SUMIFS(Data!$B$2:$B$100,Data!$A$2:$A$100,AH$2,Data!$D$2:$D$100,$C25)</f>
        <v>0</v>
      </c>
      <c r="AI25" s="218">
        <f t="shared" si="2"/>
        <v>0</v>
      </c>
    </row>
    <row r="26">
      <c r="A26" s="75"/>
      <c r="B26" s="16" t="s">
        <v>934</v>
      </c>
      <c r="C26" s="16" t="s">
        <v>16</v>
      </c>
      <c r="D26" s="39">
        <f>SUMIFS(Data!$B$2:$B$100,Data!$A$2:$A$100,D$2,Data!$D$2:$D$100,$C26)</f>
        <v>0</v>
      </c>
      <c r="E26" s="39">
        <f>SUMIFS(Data!$B$2:$B$100,Data!$A$2:$A$100,E$2,Data!$D$2:$D$100,$C26)</f>
        <v>178</v>
      </c>
      <c r="F26" s="39">
        <f>SUMIFS(Data!$B$2:$B$100,Data!$A$2:$A$100,F$2,Data!$D$2:$D$100,$C26)</f>
        <v>0</v>
      </c>
      <c r="G26" s="39">
        <f>SUMIFS(Data!$B$2:$B$100,Data!$A$2:$A$100,G$2,Data!$D$2:$D$100,$C26)</f>
        <v>0</v>
      </c>
      <c r="H26" s="39">
        <f>SUMIFS(Data!$B$2:$B$100,Data!$A$2:$A$100,H$2,Data!$D$2:$D$100,$C26)</f>
        <v>0</v>
      </c>
      <c r="I26" s="39">
        <f>SUMIFS(Data!$B$2:$B$100,Data!$A$2:$A$100,I$2,Data!$D$2:$D$100,$C26)</f>
        <v>0</v>
      </c>
      <c r="J26" s="39">
        <f>SUMIFS(Data!$B$2:$B$100,Data!$A$2:$A$100,J$2,Data!$D$2:$D$100,$C26)</f>
        <v>0</v>
      </c>
      <c r="K26" s="39">
        <f>SUMIFS(Data!$B$2:$B$100,Data!$A$2:$A$100,K$2,Data!$D$2:$D$100,$C26)</f>
        <v>0</v>
      </c>
      <c r="L26" s="39">
        <f>SUMIFS(Data!$B$2:$B$100,Data!$A$2:$A$100,L$2,Data!$D$2:$D$100,$C26)</f>
        <v>0</v>
      </c>
      <c r="M26" s="39">
        <f>SUMIFS(Data!$B$2:$B$100,Data!$A$2:$A$100,M$2,Data!$D$2:$D$100,$C26)</f>
        <v>0</v>
      </c>
      <c r="N26" s="39">
        <f>SUMIFS(Data!$B$2:$B$100,Data!$A$2:$A$100,N$2,Data!$D$2:$D$100,$C26)</f>
        <v>0</v>
      </c>
      <c r="O26" s="39">
        <f>SUMIFS(Data!$B$2:$B$100,Data!$A$2:$A$100,O$2,Data!$D$2:$D$100,$C26)</f>
        <v>0</v>
      </c>
      <c r="P26" s="39">
        <f>SUMIFS(Data!$B$2:$B$100,Data!$A$2:$A$100,P$2,Data!$D$2:$D$100,$C26)</f>
        <v>0</v>
      </c>
      <c r="Q26" s="39">
        <f>SUMIFS(Data!$B$2:$B$100,Data!$A$2:$A$100,Q$2,Data!$D$2:$D$100,$C26)</f>
        <v>0</v>
      </c>
      <c r="R26" s="39">
        <f>SUMIFS(Data!$B$2:$B$100,Data!$A$2:$A$100,R$2,Data!$D$2:$D$100,$C26)</f>
        <v>0</v>
      </c>
      <c r="S26" s="39">
        <f>SUMIFS(Data!$B$2:$B$100,Data!$A$2:$A$100,S$2,Data!$D$2:$D$100,$C26)</f>
        <v>0</v>
      </c>
      <c r="T26" s="39">
        <f>SUMIFS(Data!$B$2:$B$100,Data!$A$2:$A$100,T$2,Data!$D$2:$D$100,$C26)</f>
        <v>0</v>
      </c>
      <c r="U26" s="39">
        <f>SUMIFS(Data!$B$2:$B$100,Data!$A$2:$A$100,U$2,Data!$D$2:$D$100,$C26)</f>
        <v>0</v>
      </c>
      <c r="V26" s="39">
        <f>SUMIFS(Data!$B$2:$B$100,Data!$A$2:$A$100,V$2,Data!$D$2:$D$100,$C26)</f>
        <v>0</v>
      </c>
      <c r="W26" s="39">
        <f>SUMIFS(Data!$B$2:$B$100,Data!$A$2:$A$100,W$2,Data!$D$2:$D$100,$C26)</f>
        <v>0</v>
      </c>
      <c r="X26" s="39">
        <f>SUMIFS(Data!$B$2:$B$100,Data!$A$2:$A$100,X$2,Data!$D$2:$D$100,$C26)</f>
        <v>0</v>
      </c>
      <c r="Y26" s="39">
        <f>SUMIFS(Data!$B$2:$B$100,Data!$A$2:$A$100,Y$2,Data!$D$2:$D$100,$C26)</f>
        <v>0</v>
      </c>
      <c r="Z26" s="39">
        <f>SUMIFS(Data!$B$2:$B$100,Data!$A$2:$A$100,Z$2,Data!$D$2:$D$100,$C26)</f>
        <v>0</v>
      </c>
      <c r="AA26" s="39">
        <f>SUMIFS(Data!$B$2:$B$100,Data!$A$2:$A$100,AA$2,Data!$D$2:$D$100,$C26)</f>
        <v>0</v>
      </c>
      <c r="AB26" s="39">
        <f>SUMIFS(Data!$B$2:$B$100,Data!$A$2:$A$100,AB$2,Data!$D$2:$D$100,$C26)</f>
        <v>0</v>
      </c>
      <c r="AC26" s="39">
        <f>SUMIFS(Data!$B$2:$B$100,Data!$A$2:$A$100,AC$2,Data!$D$2:$D$100,$C26)</f>
        <v>0</v>
      </c>
      <c r="AD26" s="39">
        <f>SUMIFS(Data!$B$2:$B$100,Data!$A$2:$A$100,AD$2,Data!$D$2:$D$100,$C26)</f>
        <v>0</v>
      </c>
      <c r="AE26" s="39">
        <f>SUMIFS(Data!$B$2:$B$100,Data!$A$2:$A$100,AE$2,Data!$D$2:$D$100,$C26)</f>
        <v>0</v>
      </c>
      <c r="AF26" s="39">
        <f>SUMIFS(Data!$B$2:$B$100,Data!$A$2:$A$100,AF$2,Data!$D$2:$D$100,$C26)</f>
        <v>0</v>
      </c>
      <c r="AG26" s="39">
        <f>SUMIFS(Data!$B$2:$B$100,Data!$A$2:$A$100,AG$2,Data!$D$2:$D$100,$C26)</f>
        <v>0</v>
      </c>
      <c r="AH26" s="39">
        <f>SUMIFS(Data!$B$2:$B$100,Data!$A$2:$A$100,AH$2,Data!$D$2:$D$100,$C26)</f>
        <v>0</v>
      </c>
      <c r="AI26" s="218">
        <f t="shared" si="2"/>
        <v>178</v>
      </c>
    </row>
    <row r="27">
      <c r="B27" s="16" t="s">
        <v>934</v>
      </c>
      <c r="C27" s="16" t="s">
        <v>18</v>
      </c>
      <c r="D27" s="39">
        <f>SUMIFS(Data!$B$2:$B$100,Data!$A$2:$A$100,D$2,Data!$D$2:$D$100,$C27)</f>
        <v>0</v>
      </c>
      <c r="E27" s="39">
        <f>SUMIFS(Data!$B$2:$B$100,Data!$A$2:$A$100,E$2,Data!$D$2:$D$100,$C27)</f>
        <v>50</v>
      </c>
      <c r="F27" s="39">
        <f>SUMIFS(Data!$B$2:$B$100,Data!$A$2:$A$100,F$2,Data!$D$2:$D$100,$C27)</f>
        <v>0</v>
      </c>
      <c r="G27" s="39">
        <f>SUMIFS(Data!$B$2:$B$100,Data!$A$2:$A$100,G$2,Data!$D$2:$D$100,$C27)</f>
        <v>0</v>
      </c>
      <c r="H27" s="39">
        <f>SUMIFS(Data!$B$2:$B$100,Data!$A$2:$A$100,H$2,Data!$D$2:$D$100,$C27)</f>
        <v>0</v>
      </c>
      <c r="I27" s="39">
        <f>SUMIFS(Data!$B$2:$B$100,Data!$A$2:$A$100,I$2,Data!$D$2:$D$100,$C27)</f>
        <v>0</v>
      </c>
      <c r="J27" s="39">
        <f>SUMIFS(Data!$B$2:$B$100,Data!$A$2:$A$100,J$2,Data!$D$2:$D$100,$C27)</f>
        <v>0</v>
      </c>
      <c r="K27" s="39">
        <f>SUMIFS(Data!$B$2:$B$100,Data!$A$2:$A$100,K$2,Data!$D$2:$D$100,$C27)</f>
        <v>0</v>
      </c>
      <c r="L27" s="39">
        <f>SUMIFS(Data!$B$2:$B$100,Data!$A$2:$A$100,L$2,Data!$D$2:$D$100,$C27)</f>
        <v>0</v>
      </c>
      <c r="M27" s="39">
        <f>SUMIFS(Data!$B$2:$B$100,Data!$A$2:$A$100,M$2,Data!$D$2:$D$100,$C27)</f>
        <v>0</v>
      </c>
      <c r="N27" s="39">
        <f>SUMIFS(Data!$B$2:$B$100,Data!$A$2:$A$100,N$2,Data!$D$2:$D$100,$C27)</f>
        <v>0</v>
      </c>
      <c r="O27" s="39">
        <f>SUMIFS(Data!$B$2:$B$100,Data!$A$2:$A$100,O$2,Data!$D$2:$D$100,$C27)</f>
        <v>0</v>
      </c>
      <c r="P27" s="39">
        <f>SUMIFS(Data!$B$2:$B$100,Data!$A$2:$A$100,P$2,Data!$D$2:$D$100,$C27)</f>
        <v>0</v>
      </c>
      <c r="Q27" s="39">
        <f>SUMIFS(Data!$B$2:$B$100,Data!$A$2:$A$100,Q$2,Data!$D$2:$D$100,$C27)</f>
        <v>0</v>
      </c>
      <c r="R27" s="39">
        <f>SUMIFS(Data!$B$2:$B$100,Data!$A$2:$A$100,R$2,Data!$D$2:$D$100,$C27)</f>
        <v>0</v>
      </c>
      <c r="S27" s="39">
        <f>SUMIFS(Data!$B$2:$B$100,Data!$A$2:$A$100,S$2,Data!$D$2:$D$100,$C27)</f>
        <v>0</v>
      </c>
      <c r="T27" s="39">
        <f>SUMIFS(Data!$B$2:$B$100,Data!$A$2:$A$100,T$2,Data!$D$2:$D$100,$C27)</f>
        <v>0</v>
      </c>
      <c r="U27" s="39">
        <f>SUMIFS(Data!$B$2:$B$100,Data!$A$2:$A$100,U$2,Data!$D$2:$D$100,$C27)</f>
        <v>0</v>
      </c>
      <c r="V27" s="39">
        <f>SUMIFS(Data!$B$2:$B$100,Data!$A$2:$A$100,V$2,Data!$D$2:$D$100,$C27)</f>
        <v>0</v>
      </c>
      <c r="W27" s="39">
        <f>SUMIFS(Data!$B$2:$B$100,Data!$A$2:$A$100,W$2,Data!$D$2:$D$100,$C27)</f>
        <v>0</v>
      </c>
      <c r="X27" s="39">
        <f>SUMIFS(Data!$B$2:$B$100,Data!$A$2:$A$100,X$2,Data!$D$2:$D$100,$C27)</f>
        <v>0</v>
      </c>
      <c r="Y27" s="39">
        <f>SUMIFS(Data!$B$2:$B$100,Data!$A$2:$A$100,Y$2,Data!$D$2:$D$100,$C27)</f>
        <v>38</v>
      </c>
      <c r="Z27" s="39">
        <f>SUMIFS(Data!$B$2:$B$100,Data!$A$2:$A$100,Z$2,Data!$D$2:$D$100,$C27)</f>
        <v>0</v>
      </c>
      <c r="AA27" s="39">
        <f>SUMIFS(Data!$B$2:$B$100,Data!$A$2:$A$100,AA$2,Data!$D$2:$D$100,$C27)</f>
        <v>3</v>
      </c>
      <c r="AB27" s="39">
        <f>SUMIFS(Data!$B$2:$B$100,Data!$A$2:$A$100,AB$2,Data!$D$2:$D$100,$C27)</f>
        <v>0</v>
      </c>
      <c r="AC27" s="39">
        <f>SUMIFS(Data!$B$2:$B$100,Data!$A$2:$A$100,AC$2,Data!$D$2:$D$100,$C27)</f>
        <v>0</v>
      </c>
      <c r="AD27" s="39">
        <f>SUMIFS(Data!$B$2:$B$100,Data!$A$2:$A$100,AD$2,Data!$D$2:$D$100,$C27)</f>
        <v>0</v>
      </c>
      <c r="AE27" s="39">
        <f>SUMIFS(Data!$B$2:$B$100,Data!$A$2:$A$100,AE$2,Data!$D$2:$D$100,$C27)</f>
        <v>0</v>
      </c>
      <c r="AF27" s="39">
        <f>SUMIFS(Data!$B$2:$B$100,Data!$A$2:$A$100,AF$2,Data!$D$2:$D$100,$C27)</f>
        <v>0</v>
      </c>
      <c r="AG27" s="39">
        <f>SUMIFS(Data!$B$2:$B$100,Data!$A$2:$A$100,AG$2,Data!$D$2:$D$100,$C27)</f>
        <v>0</v>
      </c>
      <c r="AH27" s="39">
        <f>SUMIFS(Data!$B$2:$B$100,Data!$A$2:$A$100,AH$2,Data!$D$2:$D$100,$C27)</f>
        <v>0</v>
      </c>
      <c r="AI27" s="218">
        <f t="shared" si="2"/>
        <v>91</v>
      </c>
    </row>
    <row r="28">
      <c r="C28" s="15" t="s">
        <v>130</v>
      </c>
      <c r="D28" s="218">
        <f t="shared" ref="D28:AI28" si="3">SUM(D4:D27)</f>
        <v>237</v>
      </c>
      <c r="E28" s="218">
        <f t="shared" si="3"/>
        <v>583.67</v>
      </c>
      <c r="F28" s="218">
        <f t="shared" si="3"/>
        <v>22</v>
      </c>
      <c r="G28" s="218">
        <f t="shared" si="3"/>
        <v>85</v>
      </c>
      <c r="H28" s="218">
        <f t="shared" si="3"/>
        <v>24</v>
      </c>
      <c r="I28" s="218">
        <f t="shared" si="3"/>
        <v>0</v>
      </c>
      <c r="J28" s="218">
        <f t="shared" si="3"/>
        <v>19</v>
      </c>
      <c r="K28" s="218">
        <f t="shared" si="3"/>
        <v>72</v>
      </c>
      <c r="L28" s="218">
        <f t="shared" si="3"/>
        <v>220</v>
      </c>
      <c r="M28" s="218">
        <f t="shared" si="3"/>
        <v>79</v>
      </c>
      <c r="N28" s="218">
        <f t="shared" si="3"/>
        <v>0</v>
      </c>
      <c r="O28" s="218">
        <f t="shared" si="3"/>
        <v>0</v>
      </c>
      <c r="P28" s="218">
        <f t="shared" si="3"/>
        <v>0</v>
      </c>
      <c r="Q28" s="218">
        <f t="shared" si="3"/>
        <v>19</v>
      </c>
      <c r="R28" s="218">
        <f t="shared" si="3"/>
        <v>326</v>
      </c>
      <c r="S28" s="218">
        <f t="shared" si="3"/>
        <v>26</v>
      </c>
      <c r="T28" s="218">
        <f t="shared" si="3"/>
        <v>87</v>
      </c>
      <c r="U28" s="218">
        <f t="shared" si="3"/>
        <v>111</v>
      </c>
      <c r="V28" s="218">
        <f t="shared" si="3"/>
        <v>0</v>
      </c>
      <c r="W28" s="218">
        <f t="shared" si="3"/>
        <v>0</v>
      </c>
      <c r="X28" s="218">
        <f t="shared" si="3"/>
        <v>19</v>
      </c>
      <c r="Y28" s="218">
        <f t="shared" si="3"/>
        <v>71</v>
      </c>
      <c r="Z28" s="218">
        <f t="shared" si="3"/>
        <v>30</v>
      </c>
      <c r="AA28" s="218">
        <f t="shared" si="3"/>
        <v>126</v>
      </c>
      <c r="AB28" s="218">
        <f t="shared" si="3"/>
        <v>135</v>
      </c>
      <c r="AC28" s="218">
        <f t="shared" si="3"/>
        <v>0</v>
      </c>
      <c r="AD28" s="218">
        <f t="shared" si="3"/>
        <v>42</v>
      </c>
      <c r="AE28" s="218">
        <f t="shared" si="3"/>
        <v>99</v>
      </c>
      <c r="AF28" s="218">
        <f t="shared" si="3"/>
        <v>233</v>
      </c>
      <c r="AG28" s="218">
        <f t="shared" si="3"/>
        <v>63</v>
      </c>
      <c r="AH28" s="218">
        <f t="shared" si="3"/>
        <v>50</v>
      </c>
      <c r="AI28" s="218">
        <f t="shared" si="3"/>
        <v>2778.67</v>
      </c>
    </row>
    <row r="29"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</row>
    <row r="30">
      <c r="C30" s="16" t="s">
        <v>81</v>
      </c>
      <c r="D30" s="16">
        <v>1.0</v>
      </c>
      <c r="E30" s="216">
        <f t="shared" ref="E30:AH30" si="4">D30+1</f>
        <v>2</v>
      </c>
      <c r="F30" s="216">
        <f t="shared" si="4"/>
        <v>3</v>
      </c>
      <c r="G30" s="216">
        <f t="shared" si="4"/>
        <v>4</v>
      </c>
      <c r="H30" s="216">
        <f t="shared" si="4"/>
        <v>5</v>
      </c>
      <c r="I30" s="216">
        <f t="shared" si="4"/>
        <v>6</v>
      </c>
      <c r="J30" s="216">
        <f t="shared" si="4"/>
        <v>7</v>
      </c>
      <c r="K30" s="216">
        <f t="shared" si="4"/>
        <v>8</v>
      </c>
      <c r="L30" s="216">
        <f t="shared" si="4"/>
        <v>9</v>
      </c>
      <c r="M30" s="216">
        <f t="shared" si="4"/>
        <v>10</v>
      </c>
      <c r="N30" s="216">
        <f t="shared" si="4"/>
        <v>11</v>
      </c>
      <c r="O30" s="216">
        <f t="shared" si="4"/>
        <v>12</v>
      </c>
      <c r="P30" s="216">
        <f t="shared" si="4"/>
        <v>13</v>
      </c>
      <c r="Q30" s="216">
        <f t="shared" si="4"/>
        <v>14</v>
      </c>
      <c r="R30" s="216">
        <f t="shared" si="4"/>
        <v>15</v>
      </c>
      <c r="S30" s="216">
        <f t="shared" si="4"/>
        <v>16</v>
      </c>
      <c r="T30" s="216">
        <f t="shared" si="4"/>
        <v>17</v>
      </c>
      <c r="U30" s="216">
        <f t="shared" si="4"/>
        <v>18</v>
      </c>
      <c r="V30" s="216">
        <f t="shared" si="4"/>
        <v>19</v>
      </c>
      <c r="W30" s="216">
        <f t="shared" si="4"/>
        <v>20</v>
      </c>
      <c r="X30" s="216">
        <f t="shared" si="4"/>
        <v>21</v>
      </c>
      <c r="Y30" s="216">
        <f t="shared" si="4"/>
        <v>22</v>
      </c>
      <c r="Z30" s="216">
        <f t="shared" si="4"/>
        <v>23</v>
      </c>
      <c r="AA30" s="216">
        <f t="shared" si="4"/>
        <v>24</v>
      </c>
      <c r="AB30" s="216">
        <f t="shared" si="4"/>
        <v>25</v>
      </c>
      <c r="AC30" s="216">
        <f t="shared" si="4"/>
        <v>26</v>
      </c>
      <c r="AD30" s="216">
        <f t="shared" si="4"/>
        <v>27</v>
      </c>
      <c r="AE30" s="216">
        <f t="shared" si="4"/>
        <v>28</v>
      </c>
      <c r="AF30" s="216">
        <f t="shared" si="4"/>
        <v>29</v>
      </c>
      <c r="AG30" s="216">
        <f t="shared" si="4"/>
        <v>30</v>
      </c>
      <c r="AH30" s="216">
        <f t="shared" si="4"/>
        <v>31</v>
      </c>
      <c r="AI30" s="219" t="s">
        <v>956</v>
      </c>
    </row>
    <row r="31">
      <c r="A31" s="217" t="s">
        <v>120</v>
      </c>
      <c r="B31" s="16" t="s">
        <v>3</v>
      </c>
      <c r="C31" s="16" t="s">
        <v>912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</row>
    <row r="32">
      <c r="A32" s="72"/>
      <c r="B32" s="16" t="s">
        <v>915</v>
      </c>
      <c r="C32" s="16" t="s">
        <v>7</v>
      </c>
      <c r="D32" s="39">
        <f>$AI32/Presupuesto!$H$6*D$30*0</f>
        <v>0</v>
      </c>
      <c r="E32" s="39">
        <f>$AI32/Presupuesto!$H$6*E$30*0</f>
        <v>0</v>
      </c>
      <c r="F32" s="39">
        <f>$AI32/Presupuesto!$H$6*F$30*0</f>
        <v>0</v>
      </c>
      <c r="G32" s="39">
        <f>$AI32/Presupuesto!$H$6*G$30*0</f>
        <v>0</v>
      </c>
      <c r="H32" s="39">
        <f>$AI32/Presupuesto!$H$6*H$30*0</f>
        <v>0</v>
      </c>
      <c r="I32" s="39">
        <f>$AI32/Presupuesto!$H$6*I$30*0</f>
        <v>0</v>
      </c>
      <c r="J32" s="39">
        <f>$AI32/Presupuesto!$H$6*J$30*0</f>
        <v>0</v>
      </c>
      <c r="K32" s="39">
        <f>$AI32/Presupuesto!$H$6*K$30*0</f>
        <v>0</v>
      </c>
      <c r="L32" s="39">
        <f>$AI32/Presupuesto!$H$6*L$30*0</f>
        <v>0</v>
      </c>
      <c r="M32" s="39">
        <f>$AI32/Presupuesto!$H$6*M$30*0</f>
        <v>0</v>
      </c>
      <c r="N32" s="39">
        <f>$AI32/Presupuesto!$H$6*N$30*0</f>
        <v>0</v>
      </c>
      <c r="O32" s="39">
        <f>$AI32/Presupuesto!$H$6*O$30*0</f>
        <v>0</v>
      </c>
      <c r="P32" s="39">
        <f>$AI32/Presupuesto!$H$6*P$30*0</f>
        <v>0</v>
      </c>
      <c r="Q32" s="39">
        <f>$AI32/Presupuesto!$H$6*Q$30*0</f>
        <v>0</v>
      </c>
      <c r="R32" s="39">
        <f>$AI32/Presupuesto!$H$6*R$30*0</f>
        <v>0</v>
      </c>
      <c r="S32" s="39">
        <f>$AI32/Presupuesto!$H$6*S$30*0</f>
        <v>0</v>
      </c>
      <c r="T32" s="39">
        <f>$AI32/Presupuesto!$H$6*T$30*0</f>
        <v>0</v>
      </c>
      <c r="U32" s="39">
        <f>$AI32/Presupuesto!$H$6*U$30*0</f>
        <v>0</v>
      </c>
      <c r="V32" s="39">
        <f>$AI32/Presupuesto!$H$6*V$30*0</f>
        <v>0</v>
      </c>
      <c r="W32" s="39">
        <f>$AI32/Presupuesto!$H$6*W$30*0</f>
        <v>0</v>
      </c>
      <c r="X32" s="39">
        <f>$AI32/Presupuesto!$H$6*X$30*0</f>
        <v>0</v>
      </c>
      <c r="Y32" s="39">
        <f>$AI32/Presupuesto!$H$6*Y$30*0</f>
        <v>0</v>
      </c>
      <c r="Z32" s="39">
        <f>$AI32/Presupuesto!$H$6*Z$30*0</f>
        <v>0</v>
      </c>
      <c r="AA32" s="39">
        <f>$AI32/Presupuesto!$H$6*AA$30*0</f>
        <v>0</v>
      </c>
      <c r="AB32" s="39">
        <f>$AI32/Presupuesto!$H$6*AB$30*0</f>
        <v>0</v>
      </c>
      <c r="AC32" s="39">
        <f>$AI32/Presupuesto!$H$6*AC$30*0</f>
        <v>0</v>
      </c>
      <c r="AD32" s="39">
        <f>$AI32/Presupuesto!$H$6*AD$30*0</f>
        <v>0</v>
      </c>
      <c r="AE32" s="39">
        <f>$AI32/Presupuesto!$H$6*AE$30*0</f>
        <v>0</v>
      </c>
      <c r="AF32" s="39">
        <f>$AI32/Presupuesto!$H$6*AF$30*0</f>
        <v>0</v>
      </c>
      <c r="AG32" s="39">
        <f>$AI32/Presupuesto!$H$6*AG$30*0</f>
        <v>0</v>
      </c>
      <c r="AH32" s="39">
        <f>$AI32/Presupuesto!$H$6*AH$30*0</f>
        <v>0</v>
      </c>
      <c r="AI32" s="220">
        <f>Presupuesto!K7*0</f>
        <v>0</v>
      </c>
    </row>
    <row r="33">
      <c r="A33" s="72"/>
      <c r="B33" s="16" t="s">
        <v>915</v>
      </c>
      <c r="C33" s="16" t="s">
        <v>10</v>
      </c>
      <c r="D33" s="39">
        <f>$AI33/Presupuesto!$H$6*D$30</f>
        <v>2.838709677</v>
      </c>
      <c r="E33" s="39">
        <f>$AI33/Presupuesto!$H$6*E$30</f>
        <v>5.677419355</v>
      </c>
      <c r="F33" s="39">
        <f>$AI33/Presupuesto!$H$6*F$30</f>
        <v>8.516129032</v>
      </c>
      <c r="G33" s="39">
        <f>$AI33/Presupuesto!$H$6*G$30</f>
        <v>11.35483871</v>
      </c>
      <c r="H33" s="39">
        <f>$AI33/Presupuesto!$H$6*H$30</f>
        <v>14.19354839</v>
      </c>
      <c r="I33" s="39">
        <f>$AI33/Presupuesto!$H$6*I$30</f>
        <v>17.03225806</v>
      </c>
      <c r="J33" s="39">
        <f>$AI33/Presupuesto!$H$6*J$30</f>
        <v>19.87096774</v>
      </c>
      <c r="K33" s="39">
        <f>$AI33/Presupuesto!$H$6*K$30</f>
        <v>22.70967742</v>
      </c>
      <c r="L33" s="39">
        <f>$AI33/Presupuesto!$H$6*L$30</f>
        <v>25.5483871</v>
      </c>
      <c r="M33" s="39">
        <f>$AI33/Presupuesto!$H$6*M$30</f>
        <v>28.38709677</v>
      </c>
      <c r="N33" s="39">
        <f>$AI33/Presupuesto!$H$6*N$30</f>
        <v>31.22580645</v>
      </c>
      <c r="O33" s="39">
        <f>$AI33/Presupuesto!$H$6*O$30</f>
        <v>34.06451613</v>
      </c>
      <c r="P33" s="39">
        <f>$AI33/Presupuesto!$H$6*P$30</f>
        <v>36.90322581</v>
      </c>
      <c r="Q33" s="39">
        <f>$AI33/Presupuesto!$H$6*Q$30</f>
        <v>39.74193548</v>
      </c>
      <c r="R33" s="39">
        <f>$AI33/Presupuesto!$H$6*R$30</f>
        <v>42.58064516</v>
      </c>
      <c r="S33" s="39">
        <f>$AI33/Presupuesto!$H$6*S$30</f>
        <v>45.41935484</v>
      </c>
      <c r="T33" s="39">
        <f>$AI33/Presupuesto!$H$6*T$30</f>
        <v>48.25806452</v>
      </c>
      <c r="U33" s="39">
        <f>$AI33/Presupuesto!$H$6*U$30</f>
        <v>51.09677419</v>
      </c>
      <c r="V33" s="39">
        <f>$AI33/Presupuesto!$H$6*V$30</f>
        <v>53.93548387</v>
      </c>
      <c r="W33" s="39">
        <f>$AI33/Presupuesto!$H$6*W$30</f>
        <v>56.77419355</v>
      </c>
      <c r="X33" s="39">
        <f>$AI33/Presupuesto!$H$6*X$30</f>
        <v>59.61290323</v>
      </c>
      <c r="Y33" s="39">
        <f>$AI33/Presupuesto!$H$6*Y$30</f>
        <v>62.4516129</v>
      </c>
      <c r="Z33" s="39">
        <f>$AI33/Presupuesto!$H$6*Z$30</f>
        <v>65.29032258</v>
      </c>
      <c r="AA33" s="39">
        <f>$AI33/Presupuesto!$H$6*AA$30</f>
        <v>68.12903226</v>
      </c>
      <c r="AB33" s="39">
        <f>$AI33/Presupuesto!$H$6*AB$30</f>
        <v>70.96774194</v>
      </c>
      <c r="AC33" s="39">
        <f>$AI33/Presupuesto!$H$6*AC$30</f>
        <v>73.80645161</v>
      </c>
      <c r="AD33" s="39">
        <f>$AI33/Presupuesto!$H$6*AD$30</f>
        <v>76.64516129</v>
      </c>
      <c r="AE33" s="39">
        <f>$AI33/Presupuesto!$H$6*AE$30</f>
        <v>79.48387097</v>
      </c>
      <c r="AF33" s="39">
        <f>$AI33/Presupuesto!$H$6*AF$30</f>
        <v>82.32258065</v>
      </c>
      <c r="AG33" s="39">
        <f>$AI33/Presupuesto!$H$6*AG$30</f>
        <v>85.16129032</v>
      </c>
      <c r="AH33" s="39">
        <f>$AI33/Presupuesto!$H$6*AH$30</f>
        <v>88</v>
      </c>
      <c r="AI33" s="220">
        <f>Presupuesto!K8</f>
        <v>88</v>
      </c>
    </row>
    <row r="34">
      <c r="A34" s="72"/>
      <c r="B34" s="16" t="s">
        <v>921</v>
      </c>
      <c r="C34" s="177" t="s">
        <v>28</v>
      </c>
      <c r="D34" s="39">
        <f>$AI34/Presupuesto!$H$6*D$30</f>
        <v>4.161290323</v>
      </c>
      <c r="E34" s="39">
        <f>$AI34/Presupuesto!$H$6*E$30</f>
        <v>8.322580645</v>
      </c>
      <c r="F34" s="39">
        <f>$AI34/Presupuesto!$H$6*F$30</f>
        <v>12.48387097</v>
      </c>
      <c r="G34" s="39">
        <f>$AI34/Presupuesto!$H$6*G$30</f>
        <v>16.64516129</v>
      </c>
      <c r="H34" s="39">
        <f>$AI34/Presupuesto!$H$6*H$30</f>
        <v>20.80645161</v>
      </c>
      <c r="I34" s="39">
        <f>$AI34/Presupuesto!$H$6*I$30</f>
        <v>24.96774194</v>
      </c>
      <c r="J34" s="39">
        <f>$AI34/Presupuesto!$H$6*J$30</f>
        <v>29.12903226</v>
      </c>
      <c r="K34" s="39">
        <f>$AI34/Presupuesto!$H$6*K$30</f>
        <v>33.29032258</v>
      </c>
      <c r="L34" s="39">
        <f>$AI34/Presupuesto!$H$6*L$30</f>
        <v>37.4516129</v>
      </c>
      <c r="M34" s="39">
        <f>$AI34/Presupuesto!$H$6*M$30</f>
        <v>41.61290323</v>
      </c>
      <c r="N34" s="39">
        <f>$AI34/Presupuesto!$H$6*N$30</f>
        <v>45.77419355</v>
      </c>
      <c r="O34" s="39">
        <f>$AI34/Presupuesto!$H$6*O$30</f>
        <v>49.93548387</v>
      </c>
      <c r="P34" s="39">
        <f>$AI34/Presupuesto!$H$6*P$30</f>
        <v>54.09677419</v>
      </c>
      <c r="Q34" s="39">
        <f>$AI34/Presupuesto!$H$6*Q$30</f>
        <v>58.25806452</v>
      </c>
      <c r="R34" s="39">
        <f>$AI34/Presupuesto!$H$6*R$30</f>
        <v>62.41935484</v>
      </c>
      <c r="S34" s="39">
        <f>$AI34/Presupuesto!$H$6*S$30</f>
        <v>66.58064516</v>
      </c>
      <c r="T34" s="39">
        <f>$AI34/Presupuesto!$H$6*T$30</f>
        <v>70.74193548</v>
      </c>
      <c r="U34" s="39">
        <f>$AI34/Presupuesto!$H$6*U$30</f>
        <v>74.90322581</v>
      </c>
      <c r="V34" s="39">
        <f>$AI34/Presupuesto!$H$6*V$30</f>
        <v>79.06451613</v>
      </c>
      <c r="W34" s="39">
        <f>$AI34/Presupuesto!$H$6*W$30</f>
        <v>83.22580645</v>
      </c>
      <c r="X34" s="39">
        <f>$AI34/Presupuesto!$H$6*X$30</f>
        <v>87.38709677</v>
      </c>
      <c r="Y34" s="39">
        <f>$AI34/Presupuesto!$H$6*Y$30</f>
        <v>91.5483871</v>
      </c>
      <c r="Z34" s="39">
        <f>$AI34/Presupuesto!$H$6*Z$30</f>
        <v>95.70967742</v>
      </c>
      <c r="AA34" s="39">
        <f>$AI34/Presupuesto!$H$6*AA$30</f>
        <v>99.87096774</v>
      </c>
      <c r="AB34" s="39">
        <f>$AI34/Presupuesto!$H$6*AB$30</f>
        <v>104.0322581</v>
      </c>
      <c r="AC34" s="39">
        <f>$AI34/Presupuesto!$H$6*AC$30</f>
        <v>108.1935484</v>
      </c>
      <c r="AD34" s="39">
        <f>$AI34/Presupuesto!$H$6*AD$30</f>
        <v>112.3548387</v>
      </c>
      <c r="AE34" s="39">
        <f>$AI34/Presupuesto!$H$6*AE$30</f>
        <v>116.516129</v>
      </c>
      <c r="AF34" s="39">
        <f>$AI34/Presupuesto!$H$6*AF$30</f>
        <v>120.6774194</v>
      </c>
      <c r="AG34" s="39">
        <f>$AI34/Presupuesto!$H$6*AG$30</f>
        <v>124.8387097</v>
      </c>
      <c r="AH34" s="39">
        <f>$AI34/Presupuesto!$H$6*AH$30</f>
        <v>129</v>
      </c>
      <c r="AI34" s="220">
        <f>Presupuesto!K11</f>
        <v>129</v>
      </c>
    </row>
    <row r="35">
      <c r="A35" s="72"/>
      <c r="B35" s="16" t="s">
        <v>921</v>
      </c>
      <c r="C35" s="177" t="s">
        <v>20</v>
      </c>
      <c r="D35" s="39">
        <f>$AI35/Presupuesto!$H$6*D$30</f>
        <v>11.09677419</v>
      </c>
      <c r="E35" s="39">
        <f>$AI35/Presupuesto!$H$6*E$30</f>
        <v>22.19354839</v>
      </c>
      <c r="F35" s="39">
        <f>$AI35/Presupuesto!$H$6*F$30</f>
        <v>33.29032258</v>
      </c>
      <c r="G35" s="39">
        <f>$AI35/Presupuesto!$H$6*G$30</f>
        <v>44.38709677</v>
      </c>
      <c r="H35" s="39">
        <f>$AI35/Presupuesto!$H$6*H$30</f>
        <v>55.48387097</v>
      </c>
      <c r="I35" s="39">
        <f>$AI35/Presupuesto!$H$6*I$30</f>
        <v>66.58064516</v>
      </c>
      <c r="J35" s="39">
        <f>$AI35/Presupuesto!$H$6*J$30</f>
        <v>77.67741935</v>
      </c>
      <c r="K35" s="39">
        <f>$AI35/Presupuesto!$H$6*K$30</f>
        <v>88.77419355</v>
      </c>
      <c r="L35" s="39">
        <f>$AI35/Presupuesto!$H$6*L$30</f>
        <v>99.87096774</v>
      </c>
      <c r="M35" s="39">
        <f>$AI35/Presupuesto!$H$6*M$30</f>
        <v>110.9677419</v>
      </c>
      <c r="N35" s="39">
        <f>$AI35/Presupuesto!$H$6*N$30</f>
        <v>122.0645161</v>
      </c>
      <c r="O35" s="39">
        <f>$AI35/Presupuesto!$H$6*O$30</f>
        <v>133.1612903</v>
      </c>
      <c r="P35" s="39">
        <f>$AI35/Presupuesto!$H$6*P$30</f>
        <v>144.2580645</v>
      </c>
      <c r="Q35" s="39">
        <f>$AI35/Presupuesto!$H$6*Q$30</f>
        <v>155.3548387</v>
      </c>
      <c r="R35" s="39">
        <f>$AI35/Presupuesto!$H$6*R$30</f>
        <v>166.4516129</v>
      </c>
      <c r="S35" s="39">
        <f>$AI35/Presupuesto!$H$6*S$30</f>
        <v>177.5483871</v>
      </c>
      <c r="T35" s="39">
        <f>$AI35/Presupuesto!$H$6*T$30</f>
        <v>188.6451613</v>
      </c>
      <c r="U35" s="39">
        <f>$AI35/Presupuesto!$H$6*U$30</f>
        <v>199.7419355</v>
      </c>
      <c r="V35" s="39">
        <f>$AI35/Presupuesto!$H$6*V$30</f>
        <v>210.8387097</v>
      </c>
      <c r="W35" s="39">
        <f>$AI35/Presupuesto!$H$6*W$30</f>
        <v>221.9354839</v>
      </c>
      <c r="X35" s="39">
        <f>$AI35/Presupuesto!$H$6*X$30</f>
        <v>233.0322581</v>
      </c>
      <c r="Y35" s="39">
        <f>$AI35/Presupuesto!$H$6*Y$30</f>
        <v>244.1290323</v>
      </c>
      <c r="Z35" s="39">
        <f>$AI35/Presupuesto!$H$6*Z$30</f>
        <v>255.2258065</v>
      </c>
      <c r="AA35" s="39">
        <f>$AI35/Presupuesto!$H$6*AA$30</f>
        <v>266.3225806</v>
      </c>
      <c r="AB35" s="39">
        <f>$AI35/Presupuesto!$H$6*AB$30</f>
        <v>277.4193548</v>
      </c>
      <c r="AC35" s="39">
        <f>$AI35/Presupuesto!$H$6*AC$30</f>
        <v>288.516129</v>
      </c>
      <c r="AD35" s="39">
        <f>$AI35/Presupuesto!$H$6*AD$30</f>
        <v>299.6129032</v>
      </c>
      <c r="AE35" s="39">
        <f>$AI35/Presupuesto!$H$6*AE$30</f>
        <v>310.7096774</v>
      </c>
      <c r="AF35" s="39">
        <f>$AI35/Presupuesto!$H$6*AF$30</f>
        <v>321.8064516</v>
      </c>
      <c r="AG35" s="39">
        <f>$AI35/Presupuesto!$H$6*AG$30</f>
        <v>332.9032258</v>
      </c>
      <c r="AH35" s="39">
        <f>$AI35/Presupuesto!$H$6*AH$30</f>
        <v>344</v>
      </c>
      <c r="AI35" s="220">
        <f>Presupuesto!K12</f>
        <v>344</v>
      </c>
    </row>
    <row r="36">
      <c r="A36" s="72"/>
      <c r="B36" s="16" t="s">
        <v>921</v>
      </c>
      <c r="C36" s="177" t="s">
        <v>33</v>
      </c>
      <c r="D36" s="39">
        <f>$AI36/Presupuesto!$H$6*D$30</f>
        <v>6.935483871</v>
      </c>
      <c r="E36" s="39">
        <f>$AI36/Presupuesto!$H$6*E$30</f>
        <v>13.87096774</v>
      </c>
      <c r="F36" s="39">
        <f>$AI36/Presupuesto!$H$6*F$30</f>
        <v>20.80645161</v>
      </c>
      <c r="G36" s="39">
        <f>$AI36/Presupuesto!$H$6*G$30</f>
        <v>27.74193548</v>
      </c>
      <c r="H36" s="39">
        <f>$AI36/Presupuesto!$H$6*H$30</f>
        <v>34.67741935</v>
      </c>
      <c r="I36" s="39">
        <f>$AI36/Presupuesto!$H$6*I$30</f>
        <v>41.61290323</v>
      </c>
      <c r="J36" s="39">
        <f>$AI36/Presupuesto!$H$6*J$30</f>
        <v>48.5483871</v>
      </c>
      <c r="K36" s="39">
        <f>$AI36/Presupuesto!$H$6*K$30</f>
        <v>55.48387097</v>
      </c>
      <c r="L36" s="39">
        <f>$AI36/Presupuesto!$H$6*L$30</f>
        <v>62.41935484</v>
      </c>
      <c r="M36" s="39">
        <f>$AI36/Presupuesto!$H$6*M$30</f>
        <v>69.35483871</v>
      </c>
      <c r="N36" s="39">
        <f>$AI36/Presupuesto!$H$6*N$30</f>
        <v>76.29032258</v>
      </c>
      <c r="O36" s="39">
        <f>$AI36/Presupuesto!$H$6*O$30</f>
        <v>83.22580645</v>
      </c>
      <c r="P36" s="39">
        <f>$AI36/Presupuesto!$H$6*P$30</f>
        <v>90.16129032</v>
      </c>
      <c r="Q36" s="39">
        <f>$AI36/Presupuesto!$H$6*Q$30</f>
        <v>97.09677419</v>
      </c>
      <c r="R36" s="39">
        <f>$AI36/Presupuesto!$H$6*R$30</f>
        <v>104.0322581</v>
      </c>
      <c r="S36" s="39">
        <f>$AI36/Presupuesto!$H$6*S$30</f>
        <v>110.9677419</v>
      </c>
      <c r="T36" s="39">
        <f>$AI36/Presupuesto!$H$6*T$30</f>
        <v>117.9032258</v>
      </c>
      <c r="U36" s="39">
        <f>$AI36/Presupuesto!$H$6*U$30</f>
        <v>124.8387097</v>
      </c>
      <c r="V36" s="39">
        <f>$AI36/Presupuesto!$H$6*V$30</f>
        <v>131.7741935</v>
      </c>
      <c r="W36" s="39">
        <f>$AI36/Presupuesto!$H$6*W$30</f>
        <v>138.7096774</v>
      </c>
      <c r="X36" s="39">
        <f>$AI36/Presupuesto!$H$6*X$30</f>
        <v>145.6451613</v>
      </c>
      <c r="Y36" s="39">
        <f>$AI36/Presupuesto!$H$6*Y$30</f>
        <v>152.5806452</v>
      </c>
      <c r="Z36" s="39">
        <f>$AI36/Presupuesto!$H$6*Z$30</f>
        <v>159.516129</v>
      </c>
      <c r="AA36" s="39">
        <f>$AI36/Presupuesto!$H$6*AA$30</f>
        <v>166.4516129</v>
      </c>
      <c r="AB36" s="39">
        <f>$AI36/Presupuesto!$H$6*AB$30</f>
        <v>173.3870968</v>
      </c>
      <c r="AC36" s="39">
        <f>$AI36/Presupuesto!$H$6*AC$30</f>
        <v>180.3225806</v>
      </c>
      <c r="AD36" s="39">
        <f>$AI36/Presupuesto!$H$6*AD$30</f>
        <v>187.2580645</v>
      </c>
      <c r="AE36" s="39">
        <f>$AI36/Presupuesto!$H$6*AE$30</f>
        <v>194.1935484</v>
      </c>
      <c r="AF36" s="39">
        <f>$AI36/Presupuesto!$H$6*AF$30</f>
        <v>201.1290323</v>
      </c>
      <c r="AG36" s="39">
        <f>$AI36/Presupuesto!$H$6*AG$30</f>
        <v>208.0645161</v>
      </c>
      <c r="AH36" s="39">
        <f>$AI36/Presupuesto!$H$6*AH$30</f>
        <v>215</v>
      </c>
      <c r="AI36" s="220">
        <f>Presupuesto!K13</f>
        <v>215</v>
      </c>
    </row>
    <row r="37">
      <c r="A37" s="72"/>
      <c r="B37" s="16" t="s">
        <v>921</v>
      </c>
      <c r="C37" s="177" t="s">
        <v>24</v>
      </c>
      <c r="D37" s="39">
        <f>$AI37/Presupuesto!$H$6*D$30</f>
        <v>20.80645161</v>
      </c>
      <c r="E37" s="39">
        <f>$AI37/Presupuesto!$H$6*E$30</f>
        <v>41.61290323</v>
      </c>
      <c r="F37" s="39">
        <f>$AI37/Presupuesto!$H$6*F$30</f>
        <v>62.41935484</v>
      </c>
      <c r="G37" s="39">
        <f>$AI37/Presupuesto!$H$6*G$30</f>
        <v>83.22580645</v>
      </c>
      <c r="H37" s="39">
        <f>$AI37/Presupuesto!$H$6*H$30</f>
        <v>104.0322581</v>
      </c>
      <c r="I37" s="39">
        <f>$AI37/Presupuesto!$H$6*I$30</f>
        <v>124.8387097</v>
      </c>
      <c r="J37" s="39">
        <f>$AI37/Presupuesto!$H$6*J$30</f>
        <v>145.6451613</v>
      </c>
      <c r="K37" s="39">
        <f>$AI37/Presupuesto!$H$6*K$30</f>
        <v>166.4516129</v>
      </c>
      <c r="L37" s="39">
        <f>$AI37/Presupuesto!$H$6*L$30</f>
        <v>187.2580645</v>
      </c>
      <c r="M37" s="39">
        <f>$AI37/Presupuesto!$H$6*M$30</f>
        <v>208.0645161</v>
      </c>
      <c r="N37" s="39">
        <f>$AI37/Presupuesto!$H$6*N$30</f>
        <v>228.8709677</v>
      </c>
      <c r="O37" s="39">
        <f>$AI37/Presupuesto!$H$6*O$30</f>
        <v>249.6774194</v>
      </c>
      <c r="P37" s="39">
        <f>$AI37/Presupuesto!$H$6*P$30</f>
        <v>270.483871</v>
      </c>
      <c r="Q37" s="39">
        <f>$AI37/Presupuesto!$H$6*Q$30</f>
        <v>291.2903226</v>
      </c>
      <c r="R37" s="39">
        <f>$AI37/Presupuesto!$H$6*R$30</f>
        <v>312.0967742</v>
      </c>
      <c r="S37" s="39">
        <f>$AI37/Presupuesto!$H$6*S$30</f>
        <v>332.9032258</v>
      </c>
      <c r="T37" s="39">
        <f>$AI37/Presupuesto!$H$6*T$30</f>
        <v>353.7096774</v>
      </c>
      <c r="U37" s="39">
        <f>$AI37/Presupuesto!$H$6*U$30</f>
        <v>374.516129</v>
      </c>
      <c r="V37" s="39">
        <f>$AI37/Presupuesto!$H$6*V$30</f>
        <v>395.3225806</v>
      </c>
      <c r="W37" s="39">
        <f>$AI37/Presupuesto!$H$6*W$30</f>
        <v>416.1290323</v>
      </c>
      <c r="X37" s="39">
        <f>$AI37/Presupuesto!$H$6*X$30</f>
        <v>436.9354839</v>
      </c>
      <c r="Y37" s="39">
        <f>$AI37/Presupuesto!$H$6*Y$30</f>
        <v>457.7419355</v>
      </c>
      <c r="Z37" s="39">
        <f>$AI37/Presupuesto!$H$6*Z$30</f>
        <v>478.5483871</v>
      </c>
      <c r="AA37" s="39">
        <f>$AI37/Presupuesto!$H$6*AA$30</f>
        <v>499.3548387</v>
      </c>
      <c r="AB37" s="39">
        <f>$AI37/Presupuesto!$H$6*AB$30</f>
        <v>520.1612903</v>
      </c>
      <c r="AC37" s="39">
        <f>$AI37/Presupuesto!$H$6*AC$30</f>
        <v>540.9677419</v>
      </c>
      <c r="AD37" s="39">
        <f>$AI37/Presupuesto!$H$6*AD$30</f>
        <v>561.7741935</v>
      </c>
      <c r="AE37" s="39">
        <f>$AI37/Presupuesto!$H$6*AE$30</f>
        <v>582.5806452</v>
      </c>
      <c r="AF37" s="39">
        <f>$AI37/Presupuesto!$H$6*AF$30</f>
        <v>603.3870968</v>
      </c>
      <c r="AG37" s="39">
        <f>$AI37/Presupuesto!$H$6*AG$30</f>
        <v>624.1935484</v>
      </c>
      <c r="AH37" s="39">
        <f>$AI37/Presupuesto!$H$6*AH$30</f>
        <v>645</v>
      </c>
      <c r="AI37" s="220">
        <f>Presupuesto!K14</f>
        <v>645</v>
      </c>
    </row>
    <row r="38">
      <c r="A38" s="72"/>
      <c r="B38" s="16" t="s">
        <v>922</v>
      </c>
      <c r="C38" s="183" t="s">
        <v>86</v>
      </c>
      <c r="D38" s="39">
        <f>$AI38/Presupuesto!$H$6*D$30</f>
        <v>6.935483871</v>
      </c>
      <c r="E38" s="39">
        <f>$AI38/Presupuesto!$H$6*E$30</f>
        <v>13.87096774</v>
      </c>
      <c r="F38" s="39">
        <f>$AI38/Presupuesto!$H$6*F$30</f>
        <v>20.80645161</v>
      </c>
      <c r="G38" s="39">
        <f>$AI38/Presupuesto!$H$6*G$30</f>
        <v>27.74193548</v>
      </c>
      <c r="H38" s="39">
        <f>$AI38/Presupuesto!$H$6*H$30</f>
        <v>34.67741935</v>
      </c>
      <c r="I38" s="39">
        <f>$AI38/Presupuesto!$H$6*I$30</f>
        <v>41.61290323</v>
      </c>
      <c r="J38" s="39">
        <f>$AI38/Presupuesto!$H$6*J$30</f>
        <v>48.5483871</v>
      </c>
      <c r="K38" s="39">
        <f>$AI38/Presupuesto!$H$6*K$30</f>
        <v>55.48387097</v>
      </c>
      <c r="L38" s="39">
        <f>$AI38/Presupuesto!$H$6*L$30</f>
        <v>62.41935484</v>
      </c>
      <c r="M38" s="39">
        <f>$AI38/Presupuesto!$H$6*M$30</f>
        <v>69.35483871</v>
      </c>
      <c r="N38" s="39">
        <f>$AI38/Presupuesto!$H$6*N$30</f>
        <v>76.29032258</v>
      </c>
      <c r="O38" s="39">
        <f>$AI38/Presupuesto!$H$6*O$30</f>
        <v>83.22580645</v>
      </c>
      <c r="P38" s="39">
        <f>$AI38/Presupuesto!$H$6*P$30</f>
        <v>90.16129032</v>
      </c>
      <c r="Q38" s="39">
        <f>$AI38/Presupuesto!$H$6*Q$30</f>
        <v>97.09677419</v>
      </c>
      <c r="R38" s="39">
        <f>$AI38/Presupuesto!$H$6*R$30</f>
        <v>104.0322581</v>
      </c>
      <c r="S38" s="39">
        <f>$AI38/Presupuesto!$H$6*S$30</f>
        <v>110.9677419</v>
      </c>
      <c r="T38" s="39">
        <f>$AI38/Presupuesto!$H$6*T$30</f>
        <v>117.9032258</v>
      </c>
      <c r="U38" s="39">
        <f>$AI38/Presupuesto!$H$6*U$30</f>
        <v>124.8387097</v>
      </c>
      <c r="V38" s="39">
        <f>$AI38/Presupuesto!$H$6*V$30</f>
        <v>131.7741935</v>
      </c>
      <c r="W38" s="39">
        <f>$AI38/Presupuesto!$H$6*W$30</f>
        <v>138.7096774</v>
      </c>
      <c r="X38" s="39">
        <f>$AI38/Presupuesto!$H$6*X$30</f>
        <v>145.6451613</v>
      </c>
      <c r="Y38" s="39">
        <f>$AI38/Presupuesto!$H$6*Y$30</f>
        <v>152.5806452</v>
      </c>
      <c r="Z38" s="39">
        <f>$AI38/Presupuesto!$H$6*Z$30</f>
        <v>159.516129</v>
      </c>
      <c r="AA38" s="39">
        <f>$AI38/Presupuesto!$H$6*AA$30</f>
        <v>166.4516129</v>
      </c>
      <c r="AB38" s="39">
        <f>$AI38/Presupuesto!$H$6*AB$30</f>
        <v>173.3870968</v>
      </c>
      <c r="AC38" s="39">
        <f>$AI38/Presupuesto!$H$6*AC$30</f>
        <v>180.3225806</v>
      </c>
      <c r="AD38" s="39">
        <f>$AI38/Presupuesto!$H$6*AD$30</f>
        <v>187.2580645</v>
      </c>
      <c r="AE38" s="39">
        <f>$AI38/Presupuesto!$H$6*AE$30</f>
        <v>194.1935484</v>
      </c>
      <c r="AF38" s="39">
        <f>$AI38/Presupuesto!$H$6*AF$30</f>
        <v>201.1290323</v>
      </c>
      <c r="AG38" s="39">
        <f>$AI38/Presupuesto!$H$6*AG$30</f>
        <v>208.0645161</v>
      </c>
      <c r="AH38" s="39">
        <f>$AI38/Presupuesto!$H$6*AH$30</f>
        <v>215</v>
      </c>
      <c r="AI38" s="220">
        <f>Presupuesto!K15</f>
        <v>215</v>
      </c>
    </row>
    <row r="39">
      <c r="A39" s="72"/>
      <c r="B39" s="16" t="s">
        <v>922</v>
      </c>
      <c r="C39" s="183" t="s">
        <v>42</v>
      </c>
      <c r="D39" s="39">
        <f>$AI39/Presupuesto!$H$6*D$30</f>
        <v>3.225806452</v>
      </c>
      <c r="E39" s="39">
        <f>$AI39/Presupuesto!$H$6*E$30</f>
        <v>6.451612903</v>
      </c>
      <c r="F39" s="39">
        <f>$AI39/Presupuesto!$H$6*F$30</f>
        <v>9.677419355</v>
      </c>
      <c r="G39" s="39">
        <f>$AI39/Presupuesto!$H$6*G$30</f>
        <v>12.90322581</v>
      </c>
      <c r="H39" s="39">
        <f>$AI39/Presupuesto!$H$6*H$30</f>
        <v>16.12903226</v>
      </c>
      <c r="I39" s="39">
        <f>$AI39/Presupuesto!$H$6*I$30</f>
        <v>19.35483871</v>
      </c>
      <c r="J39" s="39">
        <f>$AI39/Presupuesto!$H$6*J$30</f>
        <v>22.58064516</v>
      </c>
      <c r="K39" s="39">
        <f>$AI39/Presupuesto!$H$6*K$30</f>
        <v>25.80645161</v>
      </c>
      <c r="L39" s="39">
        <f>$AI39/Presupuesto!$H$6*L$30</f>
        <v>29.03225806</v>
      </c>
      <c r="M39" s="39">
        <f>$AI39/Presupuesto!$H$6*M$30</f>
        <v>32.25806452</v>
      </c>
      <c r="N39" s="39">
        <f>$AI39/Presupuesto!$H$6*N$30</f>
        <v>35.48387097</v>
      </c>
      <c r="O39" s="39">
        <f>$AI39/Presupuesto!$H$6*O$30</f>
        <v>38.70967742</v>
      </c>
      <c r="P39" s="39">
        <f>$AI39/Presupuesto!$H$6*P$30</f>
        <v>41.93548387</v>
      </c>
      <c r="Q39" s="39">
        <f>$AI39/Presupuesto!$H$6*Q$30</f>
        <v>45.16129032</v>
      </c>
      <c r="R39" s="39">
        <f>$AI39/Presupuesto!$H$6*R$30</f>
        <v>48.38709677</v>
      </c>
      <c r="S39" s="39">
        <f>$AI39/Presupuesto!$H$6*S$30</f>
        <v>51.61290323</v>
      </c>
      <c r="T39" s="39">
        <f>$AI39/Presupuesto!$H$6*T$30</f>
        <v>54.83870968</v>
      </c>
      <c r="U39" s="39">
        <f>$AI39/Presupuesto!$H$6*U$30</f>
        <v>58.06451613</v>
      </c>
      <c r="V39" s="39">
        <f>$AI39/Presupuesto!$H$6*V$30</f>
        <v>61.29032258</v>
      </c>
      <c r="W39" s="39">
        <f>$AI39/Presupuesto!$H$6*W$30</f>
        <v>64.51612903</v>
      </c>
      <c r="X39" s="39">
        <f>$AI39/Presupuesto!$H$6*X$30</f>
        <v>67.74193548</v>
      </c>
      <c r="Y39" s="39">
        <f>$AI39/Presupuesto!$H$6*Y$30</f>
        <v>70.96774194</v>
      </c>
      <c r="Z39" s="39">
        <f>$AI39/Presupuesto!$H$6*Z$30</f>
        <v>74.19354839</v>
      </c>
      <c r="AA39" s="39">
        <f>$AI39/Presupuesto!$H$6*AA$30</f>
        <v>77.41935484</v>
      </c>
      <c r="AB39" s="39">
        <f>$AI39/Presupuesto!$H$6*AB$30</f>
        <v>80.64516129</v>
      </c>
      <c r="AC39" s="39">
        <f>$AI39/Presupuesto!$H$6*AC$30</f>
        <v>83.87096774</v>
      </c>
      <c r="AD39" s="39">
        <f>$AI39/Presupuesto!$H$6*AD$30</f>
        <v>87.09677419</v>
      </c>
      <c r="AE39" s="39">
        <f>$AI39/Presupuesto!$H$6*AE$30</f>
        <v>90.32258065</v>
      </c>
      <c r="AF39" s="39">
        <f>$AI39/Presupuesto!$H$6*AF$30</f>
        <v>93.5483871</v>
      </c>
      <c r="AG39" s="39">
        <f>$AI39/Presupuesto!$H$6*AG$30</f>
        <v>96.77419355</v>
      </c>
      <c r="AH39" s="39">
        <f>$AI39/Presupuesto!$H$6*AH$30</f>
        <v>100</v>
      </c>
      <c r="AI39" s="220">
        <f>Presupuesto!K16</f>
        <v>100</v>
      </c>
    </row>
    <row r="40">
      <c r="A40" s="72"/>
      <c r="B40" s="16" t="s">
        <v>922</v>
      </c>
      <c r="C40" s="183" t="s">
        <v>924</v>
      </c>
      <c r="D40" s="39">
        <f>$AI40/Presupuesto!$H$6*D$30</f>
        <v>5.548387097</v>
      </c>
      <c r="E40" s="39">
        <f>$AI40/Presupuesto!$H$6*E$30</f>
        <v>11.09677419</v>
      </c>
      <c r="F40" s="39">
        <f>$AI40/Presupuesto!$H$6*F$30</f>
        <v>16.64516129</v>
      </c>
      <c r="G40" s="39">
        <f>$AI40/Presupuesto!$H$6*G$30</f>
        <v>22.19354839</v>
      </c>
      <c r="H40" s="39">
        <f>$AI40/Presupuesto!$H$6*H$30</f>
        <v>27.74193548</v>
      </c>
      <c r="I40" s="39">
        <f>$AI40/Presupuesto!$H$6*I$30</f>
        <v>33.29032258</v>
      </c>
      <c r="J40" s="39">
        <f>$AI40/Presupuesto!$H$6*J$30</f>
        <v>38.83870968</v>
      </c>
      <c r="K40" s="39">
        <f>$AI40/Presupuesto!$H$6*K$30</f>
        <v>44.38709677</v>
      </c>
      <c r="L40" s="39">
        <f>$AI40/Presupuesto!$H$6*L$30</f>
        <v>49.93548387</v>
      </c>
      <c r="M40" s="39">
        <f>$AI40/Presupuesto!$H$6*M$30</f>
        <v>55.48387097</v>
      </c>
      <c r="N40" s="39">
        <f>$AI40/Presupuesto!$H$6*N$30</f>
        <v>61.03225806</v>
      </c>
      <c r="O40" s="39">
        <f>$AI40/Presupuesto!$H$6*O$30</f>
        <v>66.58064516</v>
      </c>
      <c r="P40" s="39">
        <f>$AI40/Presupuesto!$H$6*P$30</f>
        <v>72.12903226</v>
      </c>
      <c r="Q40" s="39">
        <f>$AI40/Presupuesto!$H$6*Q$30</f>
        <v>77.67741935</v>
      </c>
      <c r="R40" s="39">
        <f>$AI40/Presupuesto!$H$6*R$30</f>
        <v>83.22580645</v>
      </c>
      <c r="S40" s="39">
        <f>$AI40/Presupuesto!$H$6*S$30</f>
        <v>88.77419355</v>
      </c>
      <c r="T40" s="39">
        <f>$AI40/Presupuesto!$H$6*T$30</f>
        <v>94.32258065</v>
      </c>
      <c r="U40" s="39">
        <f>$AI40/Presupuesto!$H$6*U$30</f>
        <v>99.87096774</v>
      </c>
      <c r="V40" s="39">
        <f>$AI40/Presupuesto!$H$6*V$30</f>
        <v>105.4193548</v>
      </c>
      <c r="W40" s="39">
        <f>$AI40/Presupuesto!$H$6*W$30</f>
        <v>110.9677419</v>
      </c>
      <c r="X40" s="39">
        <f>$AI40/Presupuesto!$H$6*X$30</f>
        <v>116.516129</v>
      </c>
      <c r="Y40" s="39">
        <f>$AI40/Presupuesto!$H$6*Y$30</f>
        <v>122.0645161</v>
      </c>
      <c r="Z40" s="39">
        <f>$AI40/Presupuesto!$H$6*Z$30</f>
        <v>127.6129032</v>
      </c>
      <c r="AA40" s="39">
        <f>$AI40/Presupuesto!$H$6*AA$30</f>
        <v>133.1612903</v>
      </c>
      <c r="AB40" s="39">
        <f>$AI40/Presupuesto!$H$6*AB$30</f>
        <v>138.7096774</v>
      </c>
      <c r="AC40" s="39">
        <f>$AI40/Presupuesto!$H$6*AC$30</f>
        <v>144.2580645</v>
      </c>
      <c r="AD40" s="39">
        <f>$AI40/Presupuesto!$H$6*AD$30</f>
        <v>149.8064516</v>
      </c>
      <c r="AE40" s="39">
        <f>$AI40/Presupuesto!$H$6*AE$30</f>
        <v>155.3548387</v>
      </c>
      <c r="AF40" s="39">
        <f>$AI40/Presupuesto!$H$6*AF$30</f>
        <v>160.9032258</v>
      </c>
      <c r="AG40" s="39">
        <f>$AI40/Presupuesto!$H$6*AG$30</f>
        <v>166.4516129</v>
      </c>
      <c r="AH40" s="39">
        <f>$AI40/Presupuesto!$H$6*AH$30</f>
        <v>172</v>
      </c>
      <c r="AI40" s="220">
        <f>Presupuesto!K17</f>
        <v>172</v>
      </c>
    </row>
    <row r="41">
      <c r="A41" s="72"/>
      <c r="B41" s="16" t="s">
        <v>926</v>
      </c>
      <c r="C41" s="187" t="s">
        <v>35</v>
      </c>
      <c r="D41" s="39">
        <f>$AI41/Presupuesto!$H$6*D$30</f>
        <v>1.612903226</v>
      </c>
      <c r="E41" s="39">
        <f>$AI41/Presupuesto!$H$6*E$30</f>
        <v>3.225806452</v>
      </c>
      <c r="F41" s="39">
        <f>$AI41/Presupuesto!$H$6*F$30</f>
        <v>4.838709677</v>
      </c>
      <c r="G41" s="39">
        <f>$AI41/Presupuesto!$H$6*G$30</f>
        <v>6.451612903</v>
      </c>
      <c r="H41" s="39">
        <f>$AI41/Presupuesto!$H$6*H$30</f>
        <v>8.064516129</v>
      </c>
      <c r="I41" s="39">
        <f>$AI41/Presupuesto!$H$6*I$30</f>
        <v>9.677419355</v>
      </c>
      <c r="J41" s="39">
        <f>$AI41/Presupuesto!$H$6*J$30</f>
        <v>11.29032258</v>
      </c>
      <c r="K41" s="39">
        <f>$AI41/Presupuesto!$H$6*K$30</f>
        <v>12.90322581</v>
      </c>
      <c r="L41" s="39">
        <f>$AI41/Presupuesto!$H$6*L$30</f>
        <v>14.51612903</v>
      </c>
      <c r="M41" s="39">
        <f>$AI41/Presupuesto!$H$6*M$30</f>
        <v>16.12903226</v>
      </c>
      <c r="N41" s="39">
        <f>$AI41/Presupuesto!$H$6*N$30</f>
        <v>17.74193548</v>
      </c>
      <c r="O41" s="39">
        <f>$AI41/Presupuesto!$H$6*O$30</f>
        <v>19.35483871</v>
      </c>
      <c r="P41" s="39">
        <f>$AI41/Presupuesto!$H$6*P$30</f>
        <v>20.96774194</v>
      </c>
      <c r="Q41" s="39">
        <f>$AI41/Presupuesto!$H$6*Q$30</f>
        <v>22.58064516</v>
      </c>
      <c r="R41" s="39">
        <f>$AI41/Presupuesto!$H$6*R$30</f>
        <v>24.19354839</v>
      </c>
      <c r="S41" s="39">
        <f>$AI41/Presupuesto!$H$6*S$30</f>
        <v>25.80645161</v>
      </c>
      <c r="T41" s="39">
        <f>$AI41/Presupuesto!$H$6*T$30</f>
        <v>27.41935484</v>
      </c>
      <c r="U41" s="39">
        <f>$AI41/Presupuesto!$H$6*U$30</f>
        <v>29.03225806</v>
      </c>
      <c r="V41" s="39">
        <f>$AI41/Presupuesto!$H$6*V$30</f>
        <v>30.64516129</v>
      </c>
      <c r="W41" s="39">
        <f>$AI41/Presupuesto!$H$6*W$30</f>
        <v>32.25806452</v>
      </c>
      <c r="X41" s="39">
        <f>$AI41/Presupuesto!$H$6*X$30</f>
        <v>33.87096774</v>
      </c>
      <c r="Y41" s="39">
        <f>$AI41/Presupuesto!$H$6*Y$30</f>
        <v>35.48387097</v>
      </c>
      <c r="Z41" s="39">
        <f>$AI41/Presupuesto!$H$6*Z$30</f>
        <v>37.09677419</v>
      </c>
      <c r="AA41" s="39">
        <f>$AI41/Presupuesto!$H$6*AA$30</f>
        <v>38.70967742</v>
      </c>
      <c r="AB41" s="39">
        <f>$AI41/Presupuesto!$H$6*AB$30</f>
        <v>40.32258065</v>
      </c>
      <c r="AC41" s="39">
        <f>$AI41/Presupuesto!$H$6*AC$30</f>
        <v>41.93548387</v>
      </c>
      <c r="AD41" s="39">
        <f>$AI41/Presupuesto!$H$6*AD$30</f>
        <v>43.5483871</v>
      </c>
      <c r="AE41" s="39">
        <f>$AI41/Presupuesto!$H$6*AE$30</f>
        <v>45.16129032</v>
      </c>
      <c r="AF41" s="39">
        <f>$AI41/Presupuesto!$H$6*AF$30</f>
        <v>46.77419355</v>
      </c>
      <c r="AG41" s="39">
        <f>$AI41/Presupuesto!$H$6*AG$30</f>
        <v>48.38709677</v>
      </c>
      <c r="AH41" s="39">
        <f>$AI41/Presupuesto!$H$6*AH$30</f>
        <v>50</v>
      </c>
      <c r="AI41" s="220">
        <f>Presupuesto!K18</f>
        <v>50</v>
      </c>
    </row>
    <row r="42">
      <c r="A42" s="72"/>
      <c r="B42" s="16" t="s">
        <v>926</v>
      </c>
      <c r="C42" s="187" t="s">
        <v>927</v>
      </c>
      <c r="D42" s="39">
        <f>$AI42/Presupuesto!$H$6*D$30</f>
        <v>3.870967742</v>
      </c>
      <c r="E42" s="39">
        <f>$AI42/Presupuesto!$H$6*E$30</f>
        <v>7.741935484</v>
      </c>
      <c r="F42" s="39">
        <f>$AI42/Presupuesto!$H$6*F$30</f>
        <v>11.61290323</v>
      </c>
      <c r="G42" s="39">
        <f>$AI42/Presupuesto!$H$6*G$30</f>
        <v>15.48387097</v>
      </c>
      <c r="H42" s="39">
        <f>$AI42/Presupuesto!$H$6*H$30</f>
        <v>19.35483871</v>
      </c>
      <c r="I42" s="39">
        <f>$AI42/Presupuesto!$H$6*I$30</f>
        <v>23.22580645</v>
      </c>
      <c r="J42" s="39">
        <f>$AI42/Presupuesto!$H$6*J$30</f>
        <v>27.09677419</v>
      </c>
      <c r="K42" s="39">
        <f>$AI42/Presupuesto!$H$6*K$30</f>
        <v>30.96774194</v>
      </c>
      <c r="L42" s="39">
        <f>$AI42/Presupuesto!$H$6*L$30</f>
        <v>34.83870968</v>
      </c>
      <c r="M42" s="39">
        <f>$AI42/Presupuesto!$H$6*M$30</f>
        <v>38.70967742</v>
      </c>
      <c r="N42" s="39">
        <f>$AI42/Presupuesto!$H$6*N$30</f>
        <v>42.58064516</v>
      </c>
      <c r="O42" s="39">
        <f>$AI42/Presupuesto!$H$6*O$30</f>
        <v>46.4516129</v>
      </c>
      <c r="P42" s="39">
        <f>$AI42/Presupuesto!$H$6*P$30</f>
        <v>50.32258065</v>
      </c>
      <c r="Q42" s="39">
        <f>$AI42/Presupuesto!$H$6*Q$30</f>
        <v>54.19354839</v>
      </c>
      <c r="R42" s="39">
        <f>$AI42/Presupuesto!$H$6*R$30</f>
        <v>58.06451613</v>
      </c>
      <c r="S42" s="39">
        <f>$AI42/Presupuesto!$H$6*S$30</f>
        <v>61.93548387</v>
      </c>
      <c r="T42" s="39">
        <f>$AI42/Presupuesto!$H$6*T$30</f>
        <v>65.80645161</v>
      </c>
      <c r="U42" s="39">
        <f>$AI42/Presupuesto!$H$6*U$30</f>
        <v>69.67741935</v>
      </c>
      <c r="V42" s="39">
        <f>$AI42/Presupuesto!$H$6*V$30</f>
        <v>73.5483871</v>
      </c>
      <c r="W42" s="39">
        <f>$AI42/Presupuesto!$H$6*W$30</f>
        <v>77.41935484</v>
      </c>
      <c r="X42" s="39">
        <f>$AI42/Presupuesto!$H$6*X$30</f>
        <v>81.29032258</v>
      </c>
      <c r="Y42" s="39">
        <f>$AI42/Presupuesto!$H$6*Y$30</f>
        <v>85.16129032</v>
      </c>
      <c r="Z42" s="39">
        <f>$AI42/Presupuesto!$H$6*Z$30</f>
        <v>89.03225806</v>
      </c>
      <c r="AA42" s="39">
        <f>$AI42/Presupuesto!$H$6*AA$30</f>
        <v>92.90322581</v>
      </c>
      <c r="AB42" s="39">
        <f>$AI42/Presupuesto!$H$6*AB$30</f>
        <v>96.77419355</v>
      </c>
      <c r="AC42" s="39">
        <f>$AI42/Presupuesto!$H$6*AC$30</f>
        <v>100.6451613</v>
      </c>
      <c r="AD42" s="39">
        <f>$AI42/Presupuesto!$H$6*AD$30</f>
        <v>104.516129</v>
      </c>
      <c r="AE42" s="39">
        <f>$AI42/Presupuesto!$H$6*AE$30</f>
        <v>108.3870968</v>
      </c>
      <c r="AF42" s="39">
        <f>$AI42/Presupuesto!$H$6*AF$30</f>
        <v>112.2580645</v>
      </c>
      <c r="AG42" s="39">
        <f>$AI42/Presupuesto!$H$6*AG$30</f>
        <v>116.1290323</v>
      </c>
      <c r="AH42" s="39">
        <f>$AI42/Presupuesto!$H$6*AH$30</f>
        <v>120</v>
      </c>
      <c r="AI42" s="220">
        <f>Presupuesto!K19</f>
        <v>120</v>
      </c>
    </row>
    <row r="43">
      <c r="A43" s="72"/>
      <c r="B43" s="16" t="s">
        <v>928</v>
      </c>
      <c r="C43" s="189" t="s">
        <v>50</v>
      </c>
      <c r="D43" s="39">
        <f>$AI43/Presupuesto!$H$6*D$30</f>
        <v>2.580645161</v>
      </c>
      <c r="E43" s="39">
        <f>$AI43/Presupuesto!$H$6*E$30</f>
        <v>5.161290323</v>
      </c>
      <c r="F43" s="39">
        <f>$AI43/Presupuesto!$H$6*F$30</f>
        <v>7.741935484</v>
      </c>
      <c r="G43" s="39">
        <f>$AI43/Presupuesto!$H$6*G$30</f>
        <v>10.32258065</v>
      </c>
      <c r="H43" s="39">
        <f>$AI43/Presupuesto!$H$6*H$30</f>
        <v>12.90322581</v>
      </c>
      <c r="I43" s="39">
        <f>$AI43/Presupuesto!$H$6*I$30</f>
        <v>15.48387097</v>
      </c>
      <c r="J43" s="39">
        <f>$AI43/Presupuesto!$H$6*J$30</f>
        <v>18.06451613</v>
      </c>
      <c r="K43" s="39">
        <f>$AI43/Presupuesto!$H$6*K$30</f>
        <v>20.64516129</v>
      </c>
      <c r="L43" s="39">
        <f>$AI43/Presupuesto!$H$6*L$30</f>
        <v>23.22580645</v>
      </c>
      <c r="M43" s="39">
        <f>$AI43/Presupuesto!$H$6*M$30</f>
        <v>25.80645161</v>
      </c>
      <c r="N43" s="39">
        <f>$AI43/Presupuesto!$H$6*N$30</f>
        <v>28.38709677</v>
      </c>
      <c r="O43" s="39">
        <f>$AI43/Presupuesto!$H$6*O$30</f>
        <v>30.96774194</v>
      </c>
      <c r="P43" s="39">
        <f>$AI43/Presupuesto!$H$6*P$30</f>
        <v>33.5483871</v>
      </c>
      <c r="Q43" s="39">
        <f>$AI43/Presupuesto!$H$6*Q$30</f>
        <v>36.12903226</v>
      </c>
      <c r="R43" s="39">
        <f>$AI43/Presupuesto!$H$6*R$30</f>
        <v>38.70967742</v>
      </c>
      <c r="S43" s="39">
        <f>$AI43/Presupuesto!$H$6*S$30</f>
        <v>41.29032258</v>
      </c>
      <c r="T43" s="39">
        <f>$AI43/Presupuesto!$H$6*T$30</f>
        <v>43.87096774</v>
      </c>
      <c r="U43" s="39">
        <f>$AI43/Presupuesto!$H$6*U$30</f>
        <v>46.4516129</v>
      </c>
      <c r="V43" s="39">
        <f>$AI43/Presupuesto!$H$6*V$30</f>
        <v>49.03225806</v>
      </c>
      <c r="W43" s="39">
        <f>$AI43/Presupuesto!$H$6*W$30</f>
        <v>51.61290323</v>
      </c>
      <c r="X43" s="39">
        <f>$AI43/Presupuesto!$H$6*X$30</f>
        <v>54.19354839</v>
      </c>
      <c r="Y43" s="39">
        <f>$AI43/Presupuesto!$H$6*Y$30</f>
        <v>56.77419355</v>
      </c>
      <c r="Z43" s="39">
        <f>$AI43/Presupuesto!$H$6*Z$30</f>
        <v>59.35483871</v>
      </c>
      <c r="AA43" s="39">
        <f>$AI43/Presupuesto!$H$6*AA$30</f>
        <v>61.93548387</v>
      </c>
      <c r="AB43" s="39">
        <f>$AI43/Presupuesto!$H$6*AB$30</f>
        <v>64.51612903</v>
      </c>
      <c r="AC43" s="39">
        <f>$AI43/Presupuesto!$H$6*AC$30</f>
        <v>67.09677419</v>
      </c>
      <c r="AD43" s="39">
        <f>$AI43/Presupuesto!$H$6*AD$30</f>
        <v>69.67741935</v>
      </c>
      <c r="AE43" s="39">
        <f>$AI43/Presupuesto!$H$6*AE$30</f>
        <v>72.25806452</v>
      </c>
      <c r="AF43" s="39">
        <f>$AI43/Presupuesto!$H$6*AF$30</f>
        <v>74.83870968</v>
      </c>
      <c r="AG43" s="39">
        <f>$AI43/Presupuesto!$H$6*AG$30</f>
        <v>77.41935484</v>
      </c>
      <c r="AH43" s="39">
        <f>$AI43/Presupuesto!$H$6*AH$30</f>
        <v>80</v>
      </c>
      <c r="AI43" s="220">
        <f>Presupuesto!K20</f>
        <v>80</v>
      </c>
    </row>
    <row r="44">
      <c r="A44" s="72"/>
      <c r="B44" s="16" t="s">
        <v>928</v>
      </c>
      <c r="C44" s="189" t="s">
        <v>929</v>
      </c>
      <c r="D44" s="39">
        <f>$AI44/Presupuesto!$H$6*D$30</f>
        <v>3.225806452</v>
      </c>
      <c r="E44" s="39">
        <f>$AI44/Presupuesto!$H$6*E$30</f>
        <v>6.451612903</v>
      </c>
      <c r="F44" s="39">
        <f>$AI44/Presupuesto!$H$6*F$30</f>
        <v>9.677419355</v>
      </c>
      <c r="G44" s="39">
        <f>$AI44/Presupuesto!$H$6*G$30</f>
        <v>12.90322581</v>
      </c>
      <c r="H44" s="39">
        <f>$AI44/Presupuesto!$H$6*H$30</f>
        <v>16.12903226</v>
      </c>
      <c r="I44" s="39">
        <f>$AI44/Presupuesto!$H$6*I$30</f>
        <v>19.35483871</v>
      </c>
      <c r="J44" s="39">
        <f>$AI44/Presupuesto!$H$6*J$30</f>
        <v>22.58064516</v>
      </c>
      <c r="K44" s="39">
        <f>$AI44/Presupuesto!$H$6*K$30</f>
        <v>25.80645161</v>
      </c>
      <c r="L44" s="39">
        <f>$AI44/Presupuesto!$H$6*L$30</f>
        <v>29.03225806</v>
      </c>
      <c r="M44" s="39">
        <f>$AI44/Presupuesto!$H$6*M$30</f>
        <v>32.25806452</v>
      </c>
      <c r="N44" s="39">
        <f>$AI44/Presupuesto!$H$6*N$30</f>
        <v>35.48387097</v>
      </c>
      <c r="O44" s="39">
        <f>$AI44/Presupuesto!$H$6*O$30</f>
        <v>38.70967742</v>
      </c>
      <c r="P44" s="39">
        <f>$AI44/Presupuesto!$H$6*P$30</f>
        <v>41.93548387</v>
      </c>
      <c r="Q44" s="39">
        <f>$AI44/Presupuesto!$H$6*Q$30</f>
        <v>45.16129032</v>
      </c>
      <c r="R44" s="39">
        <f>$AI44/Presupuesto!$H$6*R$30</f>
        <v>48.38709677</v>
      </c>
      <c r="S44" s="39">
        <f>$AI44/Presupuesto!$H$6*S$30</f>
        <v>51.61290323</v>
      </c>
      <c r="T44" s="39">
        <f>$AI44/Presupuesto!$H$6*T$30</f>
        <v>54.83870968</v>
      </c>
      <c r="U44" s="39">
        <f>$AI44/Presupuesto!$H$6*U$30</f>
        <v>58.06451613</v>
      </c>
      <c r="V44" s="39">
        <f>$AI44/Presupuesto!$H$6*V$30</f>
        <v>61.29032258</v>
      </c>
      <c r="W44" s="39">
        <f>$AI44/Presupuesto!$H$6*W$30</f>
        <v>64.51612903</v>
      </c>
      <c r="X44" s="39">
        <f>$AI44/Presupuesto!$H$6*X$30</f>
        <v>67.74193548</v>
      </c>
      <c r="Y44" s="39">
        <f>$AI44/Presupuesto!$H$6*Y$30</f>
        <v>70.96774194</v>
      </c>
      <c r="Z44" s="39">
        <f>$AI44/Presupuesto!$H$6*Z$30</f>
        <v>74.19354839</v>
      </c>
      <c r="AA44" s="39">
        <f>$AI44/Presupuesto!$H$6*AA$30</f>
        <v>77.41935484</v>
      </c>
      <c r="AB44" s="39">
        <f>$AI44/Presupuesto!$H$6*AB$30</f>
        <v>80.64516129</v>
      </c>
      <c r="AC44" s="39">
        <f>$AI44/Presupuesto!$H$6*AC$30</f>
        <v>83.87096774</v>
      </c>
      <c r="AD44" s="39">
        <f>$AI44/Presupuesto!$H$6*AD$30</f>
        <v>87.09677419</v>
      </c>
      <c r="AE44" s="39">
        <f>$AI44/Presupuesto!$H$6*AE$30</f>
        <v>90.32258065</v>
      </c>
      <c r="AF44" s="39">
        <f>$AI44/Presupuesto!$H$6*AF$30</f>
        <v>93.5483871</v>
      </c>
      <c r="AG44" s="39">
        <f>$AI44/Presupuesto!$H$6*AG$30</f>
        <v>96.77419355</v>
      </c>
      <c r="AH44" s="39">
        <f>$AI44/Presupuesto!$H$6*AH$30</f>
        <v>100</v>
      </c>
      <c r="AI44" s="220">
        <f>Presupuesto!K21</f>
        <v>100</v>
      </c>
    </row>
    <row r="45">
      <c r="A45" s="72"/>
      <c r="B45" s="16" t="s">
        <v>928</v>
      </c>
      <c r="C45" s="189" t="s">
        <v>26</v>
      </c>
      <c r="D45" s="39">
        <f>$AI45/Presupuesto!$H$6*D$30</f>
        <v>1.129032258</v>
      </c>
      <c r="E45" s="39">
        <f>$AI45/Presupuesto!$H$6*E$30</f>
        <v>2.258064516</v>
      </c>
      <c r="F45" s="39">
        <f>$AI45/Presupuesto!$H$6*F$30</f>
        <v>3.387096774</v>
      </c>
      <c r="G45" s="39">
        <f>$AI45/Presupuesto!$H$6*G$30</f>
        <v>4.516129032</v>
      </c>
      <c r="H45" s="39">
        <f>$AI45/Presupuesto!$H$6*H$30</f>
        <v>5.64516129</v>
      </c>
      <c r="I45" s="39">
        <f>$AI45/Presupuesto!$H$6*I$30</f>
        <v>6.774193548</v>
      </c>
      <c r="J45" s="39">
        <f>$AI45/Presupuesto!$H$6*J$30</f>
        <v>7.903225806</v>
      </c>
      <c r="K45" s="39">
        <f>$AI45/Presupuesto!$H$6*K$30</f>
        <v>9.032258065</v>
      </c>
      <c r="L45" s="39">
        <f>$AI45/Presupuesto!$H$6*L$30</f>
        <v>10.16129032</v>
      </c>
      <c r="M45" s="39">
        <f>$AI45/Presupuesto!$H$6*M$30</f>
        <v>11.29032258</v>
      </c>
      <c r="N45" s="39">
        <f>$AI45/Presupuesto!$H$6*N$30</f>
        <v>12.41935484</v>
      </c>
      <c r="O45" s="39">
        <f>$AI45/Presupuesto!$H$6*O$30</f>
        <v>13.5483871</v>
      </c>
      <c r="P45" s="39">
        <f>$AI45/Presupuesto!$H$6*P$30</f>
        <v>14.67741935</v>
      </c>
      <c r="Q45" s="39">
        <f>$AI45/Presupuesto!$H$6*Q$30</f>
        <v>15.80645161</v>
      </c>
      <c r="R45" s="39">
        <f>$AI45/Presupuesto!$H$6*R$30</f>
        <v>16.93548387</v>
      </c>
      <c r="S45" s="39">
        <f>$AI45/Presupuesto!$H$6*S$30</f>
        <v>18.06451613</v>
      </c>
      <c r="T45" s="39">
        <f>$AI45/Presupuesto!$H$6*T$30</f>
        <v>19.19354839</v>
      </c>
      <c r="U45" s="39">
        <f>$AI45/Presupuesto!$H$6*U$30</f>
        <v>20.32258065</v>
      </c>
      <c r="V45" s="39">
        <f>$AI45/Presupuesto!$H$6*V$30</f>
        <v>21.4516129</v>
      </c>
      <c r="W45" s="39">
        <f>$AI45/Presupuesto!$H$6*W$30</f>
        <v>22.58064516</v>
      </c>
      <c r="X45" s="39">
        <f>$AI45/Presupuesto!$H$6*X$30</f>
        <v>23.70967742</v>
      </c>
      <c r="Y45" s="39">
        <f>$AI45/Presupuesto!$H$6*Y$30</f>
        <v>24.83870968</v>
      </c>
      <c r="Z45" s="39">
        <f>$AI45/Presupuesto!$H$6*Z$30</f>
        <v>25.96774194</v>
      </c>
      <c r="AA45" s="39">
        <f>$AI45/Presupuesto!$H$6*AA$30</f>
        <v>27.09677419</v>
      </c>
      <c r="AB45" s="39">
        <f>$AI45/Presupuesto!$H$6*AB$30</f>
        <v>28.22580645</v>
      </c>
      <c r="AC45" s="39">
        <f>$AI45/Presupuesto!$H$6*AC$30</f>
        <v>29.35483871</v>
      </c>
      <c r="AD45" s="39">
        <f>$AI45/Presupuesto!$H$6*AD$30</f>
        <v>30.48387097</v>
      </c>
      <c r="AE45" s="39">
        <f>$AI45/Presupuesto!$H$6*AE$30</f>
        <v>31.61290323</v>
      </c>
      <c r="AF45" s="39">
        <f>$AI45/Presupuesto!$H$6*AF$30</f>
        <v>32.74193548</v>
      </c>
      <c r="AG45" s="39">
        <f>$AI45/Presupuesto!$H$6*AG$30</f>
        <v>33.87096774</v>
      </c>
      <c r="AH45" s="39">
        <f>$AI45/Presupuesto!$H$6*AH$30</f>
        <v>35</v>
      </c>
      <c r="AI45" s="220">
        <f>Presupuesto!K22</f>
        <v>35</v>
      </c>
    </row>
    <row r="46">
      <c r="A46" s="72"/>
      <c r="B46" s="16" t="s">
        <v>928</v>
      </c>
      <c r="C46" s="189" t="s">
        <v>92</v>
      </c>
      <c r="D46" s="39">
        <f>$AI46/Presupuesto!$H$6*D$30*0</f>
        <v>0</v>
      </c>
      <c r="E46" s="39">
        <f>$AI46/Presupuesto!$H$6*E$30*0</f>
        <v>0</v>
      </c>
      <c r="F46" s="39">
        <f>$AI46/Presupuesto!$H$6*F$30*0</f>
        <v>0</v>
      </c>
      <c r="G46" s="39">
        <f>$AI46/Presupuesto!$H$6*G$30*0</f>
        <v>0</v>
      </c>
      <c r="H46" s="39">
        <f>$AI46/Presupuesto!$H$6*H$30*0</f>
        <v>0</v>
      </c>
      <c r="I46" s="39">
        <f>$AI46/Presupuesto!$H$6*I$30*0</f>
        <v>0</v>
      </c>
      <c r="J46" s="39">
        <f>$AI46/Presupuesto!$H$6*J$30*0</f>
        <v>0</v>
      </c>
      <c r="K46" s="39">
        <f>$AI46/Presupuesto!$H$6*K$30*0</f>
        <v>0</v>
      </c>
      <c r="L46" s="39">
        <f>$AI46/Presupuesto!$H$6*L$30*0</f>
        <v>0</v>
      </c>
      <c r="M46" s="39">
        <f>$AI46/Presupuesto!$H$6*M$30*0</f>
        <v>0</v>
      </c>
      <c r="N46" s="39">
        <f>$AI46/Presupuesto!$H$6*N$30*0</f>
        <v>0</v>
      </c>
      <c r="O46" s="39">
        <f>$AI46/Presupuesto!$H$6*O$30*0</f>
        <v>0</v>
      </c>
      <c r="P46" s="39">
        <f>$AI46/Presupuesto!$H$6*P$30*0</f>
        <v>0</v>
      </c>
      <c r="Q46" s="39">
        <f>$AI46/Presupuesto!$H$6*Q$30*0</f>
        <v>0</v>
      </c>
      <c r="R46" s="39">
        <f>$AI46/Presupuesto!$H$6*R$30*0</f>
        <v>0</v>
      </c>
      <c r="S46" s="39">
        <f>$AI46/Presupuesto!$H$6*S$30*0</f>
        <v>0</v>
      </c>
      <c r="T46" s="39">
        <f>$AI46/Presupuesto!$H$6*T$30*0</f>
        <v>0</v>
      </c>
      <c r="U46" s="39">
        <f>$AI46/Presupuesto!$H$6*U$30*0</f>
        <v>0</v>
      </c>
      <c r="V46" s="39">
        <f>$AI46/Presupuesto!$H$6*V$30*0</f>
        <v>0</v>
      </c>
      <c r="W46" s="39">
        <f>$AI46/Presupuesto!$H$6*W$30*0</f>
        <v>0</v>
      </c>
      <c r="X46" s="39">
        <f>$AI46/Presupuesto!$H$6*X$30*0</f>
        <v>0</v>
      </c>
      <c r="Y46" s="39">
        <f>$AI46/Presupuesto!$H$6*Y$30*0</f>
        <v>0</v>
      </c>
      <c r="Z46" s="39">
        <f>$AI46/Presupuesto!$H$6*Z$30*0</f>
        <v>0</v>
      </c>
      <c r="AA46" s="39">
        <f>$AI46/Presupuesto!$H$6*AA$30*0</f>
        <v>0</v>
      </c>
      <c r="AB46" s="39">
        <f>$AI46/Presupuesto!$H$6*AB$30*0</f>
        <v>0</v>
      </c>
      <c r="AC46" s="39">
        <f>$AI46/Presupuesto!$H$6*AC$30*0</f>
        <v>0</v>
      </c>
      <c r="AD46" s="39">
        <f>$AI46/Presupuesto!$H$6*AD$30*0</f>
        <v>0</v>
      </c>
      <c r="AE46" s="39">
        <f>$AI46/Presupuesto!$H$6*AE$30*0</f>
        <v>0</v>
      </c>
      <c r="AF46" s="39">
        <f>$AI46/Presupuesto!$H$6*AF$30*0</f>
        <v>0</v>
      </c>
      <c r="AG46" s="39">
        <f>$AI46/Presupuesto!$H$6*AG$30*0</f>
        <v>0</v>
      </c>
      <c r="AH46" s="39">
        <f>$AI46/Presupuesto!$H$6*AH$30*0</f>
        <v>0</v>
      </c>
      <c r="AI46" s="220">
        <f>Presupuesto!K23*0</f>
        <v>0</v>
      </c>
    </row>
    <row r="47">
      <c r="A47" s="72"/>
      <c r="B47" s="16" t="s">
        <v>928</v>
      </c>
      <c r="C47" s="189" t="s">
        <v>93</v>
      </c>
      <c r="D47" s="39">
        <f>$AI47/Presupuesto!$H$6*D$30*0</f>
        <v>0</v>
      </c>
      <c r="E47" s="39">
        <f>$AI47/Presupuesto!$H$6*E$30*0</f>
        <v>0</v>
      </c>
      <c r="F47" s="39">
        <f>$AI47/Presupuesto!$H$6*F$30*0</f>
        <v>0</v>
      </c>
      <c r="G47" s="39">
        <f>$AI47/Presupuesto!$H$6*G$30*0</f>
        <v>0</v>
      </c>
      <c r="H47" s="39">
        <f>$AI47/Presupuesto!$H$6*H$30*0</f>
        <v>0</v>
      </c>
      <c r="I47" s="39">
        <f>$AI47/Presupuesto!$H$6*I$30*0</f>
        <v>0</v>
      </c>
      <c r="J47" s="39">
        <f>$AI47/Presupuesto!$H$6*J$30*0</f>
        <v>0</v>
      </c>
      <c r="K47" s="39">
        <f>$AI47/Presupuesto!$H$6*K$30*0</f>
        <v>0</v>
      </c>
      <c r="L47" s="39">
        <f>$AI47/Presupuesto!$H$6*L$30*0</f>
        <v>0</v>
      </c>
      <c r="M47" s="39">
        <f>$AI47/Presupuesto!$H$6*M$30*0</f>
        <v>0</v>
      </c>
      <c r="N47" s="39">
        <f>$AI47/Presupuesto!$H$6*N$30*0</f>
        <v>0</v>
      </c>
      <c r="O47" s="39">
        <f>$AI47/Presupuesto!$H$6*O$30*0</f>
        <v>0</v>
      </c>
      <c r="P47" s="39">
        <f>$AI47/Presupuesto!$H$6*P$30*0</f>
        <v>0</v>
      </c>
      <c r="Q47" s="39">
        <f>$AI47/Presupuesto!$H$6*Q$30*0</f>
        <v>0</v>
      </c>
      <c r="R47" s="39">
        <f>$AI47/Presupuesto!$H$6*R$30*0</f>
        <v>0</v>
      </c>
      <c r="S47" s="39">
        <f>$AI47/Presupuesto!$H$6*S$30*0</f>
        <v>0</v>
      </c>
      <c r="T47" s="39">
        <f>$AI47/Presupuesto!$H$6*T$30*0</f>
        <v>0</v>
      </c>
      <c r="U47" s="39">
        <f>$AI47/Presupuesto!$H$6*U$30*0</f>
        <v>0</v>
      </c>
      <c r="V47" s="39">
        <f>$AI47/Presupuesto!$H$6*V$30*0</f>
        <v>0</v>
      </c>
      <c r="W47" s="39">
        <f>$AI47/Presupuesto!$H$6*W$30*0</f>
        <v>0</v>
      </c>
      <c r="X47" s="39">
        <f>$AI47/Presupuesto!$H$6*X$30*0</f>
        <v>0</v>
      </c>
      <c r="Y47" s="39">
        <f>$AI47/Presupuesto!$H$6*Y$30*0</f>
        <v>0</v>
      </c>
      <c r="Z47" s="39">
        <f>$AI47/Presupuesto!$H$6*Z$30*0</f>
        <v>0</v>
      </c>
      <c r="AA47" s="39">
        <f>$AI47/Presupuesto!$H$6*AA$30*0</f>
        <v>0</v>
      </c>
      <c r="AB47" s="39">
        <f>$AI47/Presupuesto!$H$6*AB$30*0</f>
        <v>0</v>
      </c>
      <c r="AC47" s="39">
        <f>$AI47/Presupuesto!$H$6*AC$30*0</f>
        <v>0</v>
      </c>
      <c r="AD47" s="39">
        <f>$AI47/Presupuesto!$H$6*AD$30*0</f>
        <v>0</v>
      </c>
      <c r="AE47" s="39">
        <f>$AI47/Presupuesto!$H$6*AE$30*0</f>
        <v>0</v>
      </c>
      <c r="AF47" s="39">
        <f>$AI47/Presupuesto!$H$6*AF$30*0</f>
        <v>0</v>
      </c>
      <c r="AG47" s="39">
        <f>$AI47/Presupuesto!$H$6*AG$30*0</f>
        <v>0</v>
      </c>
      <c r="AH47" s="39">
        <f>$AI47/Presupuesto!$H$6*AH$30*0</f>
        <v>0</v>
      </c>
      <c r="AI47" s="220">
        <f>Presupuesto!K24*0</f>
        <v>0</v>
      </c>
    </row>
    <row r="48">
      <c r="A48" s="72"/>
      <c r="B48" s="16" t="s">
        <v>928</v>
      </c>
      <c r="C48" s="189" t="s">
        <v>60</v>
      </c>
      <c r="D48" s="39">
        <f>$AI48/Presupuesto!$H$6*D$30</f>
        <v>1.290322581</v>
      </c>
      <c r="E48" s="39">
        <f>$AI48/Presupuesto!$H$6*E$30</f>
        <v>2.580645161</v>
      </c>
      <c r="F48" s="39">
        <f>$AI48/Presupuesto!$H$6*F$30</f>
        <v>3.870967742</v>
      </c>
      <c r="G48" s="39">
        <f>$AI48/Presupuesto!$H$6*G$30</f>
        <v>5.161290323</v>
      </c>
      <c r="H48" s="39">
        <f>$AI48/Presupuesto!$H$6*H$30</f>
        <v>6.451612903</v>
      </c>
      <c r="I48" s="39">
        <f>$AI48/Presupuesto!$H$6*I$30</f>
        <v>7.741935484</v>
      </c>
      <c r="J48" s="39">
        <f>$AI48/Presupuesto!$H$6*J$30</f>
        <v>9.032258065</v>
      </c>
      <c r="K48" s="39">
        <f>$AI48/Presupuesto!$H$6*K$30</f>
        <v>10.32258065</v>
      </c>
      <c r="L48" s="39">
        <f>$AI48/Presupuesto!$H$6*L$30</f>
        <v>11.61290323</v>
      </c>
      <c r="M48" s="39">
        <f>$AI48/Presupuesto!$H$6*M$30</f>
        <v>12.90322581</v>
      </c>
      <c r="N48" s="39">
        <f>$AI48/Presupuesto!$H$6*N$30</f>
        <v>14.19354839</v>
      </c>
      <c r="O48" s="39">
        <f>$AI48/Presupuesto!$H$6*O$30</f>
        <v>15.48387097</v>
      </c>
      <c r="P48" s="39">
        <f>$AI48/Presupuesto!$H$6*P$30</f>
        <v>16.77419355</v>
      </c>
      <c r="Q48" s="39">
        <f>$AI48/Presupuesto!$H$6*Q$30</f>
        <v>18.06451613</v>
      </c>
      <c r="R48" s="39">
        <f>$AI48/Presupuesto!$H$6*R$30</f>
        <v>19.35483871</v>
      </c>
      <c r="S48" s="39">
        <f>$AI48/Presupuesto!$H$6*S$30</f>
        <v>20.64516129</v>
      </c>
      <c r="T48" s="39">
        <f>$AI48/Presupuesto!$H$6*T$30</f>
        <v>21.93548387</v>
      </c>
      <c r="U48" s="39">
        <f>$AI48/Presupuesto!$H$6*U$30</f>
        <v>23.22580645</v>
      </c>
      <c r="V48" s="39">
        <f>$AI48/Presupuesto!$H$6*V$30</f>
        <v>24.51612903</v>
      </c>
      <c r="W48" s="39">
        <f>$AI48/Presupuesto!$H$6*W$30</f>
        <v>25.80645161</v>
      </c>
      <c r="X48" s="39">
        <f>$AI48/Presupuesto!$H$6*X$30</f>
        <v>27.09677419</v>
      </c>
      <c r="Y48" s="39">
        <f>$AI48/Presupuesto!$H$6*Y$30</f>
        <v>28.38709677</v>
      </c>
      <c r="Z48" s="39">
        <f>$AI48/Presupuesto!$H$6*Z$30</f>
        <v>29.67741935</v>
      </c>
      <c r="AA48" s="39">
        <f>$AI48/Presupuesto!$H$6*AA$30</f>
        <v>30.96774194</v>
      </c>
      <c r="AB48" s="39">
        <f>$AI48/Presupuesto!$H$6*AB$30</f>
        <v>32.25806452</v>
      </c>
      <c r="AC48" s="39">
        <f>$AI48/Presupuesto!$H$6*AC$30</f>
        <v>33.5483871</v>
      </c>
      <c r="AD48" s="39">
        <f>$AI48/Presupuesto!$H$6*AD$30</f>
        <v>34.83870968</v>
      </c>
      <c r="AE48" s="39">
        <f>$AI48/Presupuesto!$H$6*AE$30</f>
        <v>36.12903226</v>
      </c>
      <c r="AF48" s="39">
        <f>$AI48/Presupuesto!$H$6*AF$30</f>
        <v>37.41935484</v>
      </c>
      <c r="AG48" s="39">
        <f>$AI48/Presupuesto!$H$6*AG$30</f>
        <v>38.70967742</v>
      </c>
      <c r="AH48" s="39">
        <f>$AI48/Presupuesto!$H$6*AH$30</f>
        <v>40</v>
      </c>
      <c r="AI48" s="220">
        <f>Presupuesto!K25</f>
        <v>40</v>
      </c>
    </row>
    <row r="49">
      <c r="A49" s="72"/>
      <c r="B49" s="16" t="s">
        <v>931</v>
      </c>
      <c r="C49" s="195" t="s">
        <v>44</v>
      </c>
      <c r="D49" s="39">
        <f>$AI49/Presupuesto!$H$6*D$30</f>
        <v>7.629032258</v>
      </c>
      <c r="E49" s="39">
        <f>$AI49/Presupuesto!$H$6*E$30</f>
        <v>15.25806452</v>
      </c>
      <c r="F49" s="39">
        <f>$AI49/Presupuesto!$H$6*F$30</f>
        <v>22.88709677</v>
      </c>
      <c r="G49" s="39">
        <f>$AI49/Presupuesto!$H$6*G$30</f>
        <v>30.51612903</v>
      </c>
      <c r="H49" s="39">
        <f>$AI49/Presupuesto!$H$6*H$30</f>
        <v>38.14516129</v>
      </c>
      <c r="I49" s="39">
        <f>$AI49/Presupuesto!$H$6*I$30</f>
        <v>45.77419355</v>
      </c>
      <c r="J49" s="39">
        <f>$AI49/Presupuesto!$H$6*J$30</f>
        <v>53.40322581</v>
      </c>
      <c r="K49" s="39">
        <f>$AI49/Presupuesto!$H$6*K$30</f>
        <v>61.03225806</v>
      </c>
      <c r="L49" s="39">
        <f>$AI49/Presupuesto!$H$6*L$30</f>
        <v>68.66129032</v>
      </c>
      <c r="M49" s="39">
        <f>$AI49/Presupuesto!$H$6*M$30</f>
        <v>76.29032258</v>
      </c>
      <c r="N49" s="39">
        <f>$AI49/Presupuesto!$H$6*N$30</f>
        <v>83.91935484</v>
      </c>
      <c r="O49" s="39">
        <f>$AI49/Presupuesto!$H$6*O$30</f>
        <v>91.5483871</v>
      </c>
      <c r="P49" s="39">
        <f>$AI49/Presupuesto!$H$6*P$30</f>
        <v>99.17741935</v>
      </c>
      <c r="Q49" s="39">
        <f>$AI49/Presupuesto!$H$6*Q$30</f>
        <v>106.8064516</v>
      </c>
      <c r="R49" s="39">
        <f>$AI49/Presupuesto!$H$6*R$30</f>
        <v>114.4354839</v>
      </c>
      <c r="S49" s="39">
        <f>$AI49/Presupuesto!$H$6*S$30</f>
        <v>122.0645161</v>
      </c>
      <c r="T49" s="39">
        <f>$AI49/Presupuesto!$H$6*T$30</f>
        <v>129.6935484</v>
      </c>
      <c r="U49" s="39">
        <f>$AI49/Presupuesto!$H$6*U$30</f>
        <v>137.3225806</v>
      </c>
      <c r="V49" s="39">
        <f>$AI49/Presupuesto!$H$6*V$30</f>
        <v>144.9516129</v>
      </c>
      <c r="W49" s="39">
        <f>$AI49/Presupuesto!$H$6*W$30</f>
        <v>152.5806452</v>
      </c>
      <c r="X49" s="39">
        <f>$AI49/Presupuesto!$H$6*X$30</f>
        <v>160.2096774</v>
      </c>
      <c r="Y49" s="39">
        <f>$AI49/Presupuesto!$H$6*Y$30</f>
        <v>167.8387097</v>
      </c>
      <c r="Z49" s="39">
        <f>$AI49/Presupuesto!$H$6*Z$30</f>
        <v>175.4677419</v>
      </c>
      <c r="AA49" s="39">
        <f>$AI49/Presupuesto!$H$6*AA$30</f>
        <v>183.0967742</v>
      </c>
      <c r="AB49" s="39">
        <f>$AI49/Presupuesto!$H$6*AB$30</f>
        <v>190.7258065</v>
      </c>
      <c r="AC49" s="39">
        <f>$AI49/Presupuesto!$H$6*AC$30</f>
        <v>198.3548387</v>
      </c>
      <c r="AD49" s="39">
        <f>$AI49/Presupuesto!$H$6*AD$30</f>
        <v>205.983871</v>
      </c>
      <c r="AE49" s="39">
        <f>$AI49/Presupuesto!$H$6*AE$30</f>
        <v>213.6129032</v>
      </c>
      <c r="AF49" s="39">
        <f>$AI49/Presupuesto!$H$6*AF$30</f>
        <v>221.2419355</v>
      </c>
      <c r="AG49" s="39">
        <f>$AI49/Presupuesto!$H$6*AG$30</f>
        <v>228.8709677</v>
      </c>
      <c r="AH49" s="39">
        <f>$AI49/Presupuesto!$H$6*AH$30</f>
        <v>236.5</v>
      </c>
      <c r="AI49" s="220">
        <f>Presupuesto!K26</f>
        <v>236.5</v>
      </c>
    </row>
    <row r="50">
      <c r="A50" s="72"/>
      <c r="B50" s="16" t="s">
        <v>931</v>
      </c>
      <c r="C50" s="195" t="s">
        <v>49</v>
      </c>
      <c r="D50" s="39">
        <f>$AI50/Presupuesto!$H$6*D$30</f>
        <v>3.190322581</v>
      </c>
      <c r="E50" s="39">
        <f>$AI50/Presupuesto!$H$6*E$30</f>
        <v>6.380645161</v>
      </c>
      <c r="F50" s="39">
        <f>$AI50/Presupuesto!$H$6*F$30</f>
        <v>9.570967742</v>
      </c>
      <c r="G50" s="39">
        <f>$AI50/Presupuesto!$H$6*G$30</f>
        <v>12.76129032</v>
      </c>
      <c r="H50" s="39">
        <f>$AI50/Presupuesto!$H$6*H$30</f>
        <v>15.9516129</v>
      </c>
      <c r="I50" s="39">
        <f>$AI50/Presupuesto!$H$6*I$30</f>
        <v>19.14193548</v>
      </c>
      <c r="J50" s="39">
        <f>$AI50/Presupuesto!$H$6*J$30</f>
        <v>22.33225806</v>
      </c>
      <c r="K50" s="39">
        <f>$AI50/Presupuesto!$H$6*K$30</f>
        <v>25.52258065</v>
      </c>
      <c r="L50" s="39">
        <f>$AI50/Presupuesto!$H$6*L$30</f>
        <v>28.71290323</v>
      </c>
      <c r="M50" s="39">
        <f>$AI50/Presupuesto!$H$6*M$30</f>
        <v>31.90322581</v>
      </c>
      <c r="N50" s="39">
        <f>$AI50/Presupuesto!$H$6*N$30</f>
        <v>35.09354839</v>
      </c>
      <c r="O50" s="39">
        <f>$AI50/Presupuesto!$H$6*O$30</f>
        <v>38.28387097</v>
      </c>
      <c r="P50" s="39">
        <f>$AI50/Presupuesto!$H$6*P$30</f>
        <v>41.47419355</v>
      </c>
      <c r="Q50" s="39">
        <f>$AI50/Presupuesto!$H$6*Q$30</f>
        <v>44.66451613</v>
      </c>
      <c r="R50" s="39">
        <f>$AI50/Presupuesto!$H$6*R$30</f>
        <v>47.85483871</v>
      </c>
      <c r="S50" s="39">
        <f>$AI50/Presupuesto!$H$6*S$30</f>
        <v>51.04516129</v>
      </c>
      <c r="T50" s="39">
        <f>$AI50/Presupuesto!$H$6*T$30</f>
        <v>54.23548387</v>
      </c>
      <c r="U50" s="39">
        <f>$AI50/Presupuesto!$H$6*U$30</f>
        <v>57.42580645</v>
      </c>
      <c r="V50" s="39">
        <f>$AI50/Presupuesto!$H$6*V$30</f>
        <v>60.61612903</v>
      </c>
      <c r="W50" s="39">
        <f>$AI50/Presupuesto!$H$6*W$30</f>
        <v>63.80645161</v>
      </c>
      <c r="X50" s="39">
        <f>$AI50/Presupuesto!$H$6*X$30</f>
        <v>66.99677419</v>
      </c>
      <c r="Y50" s="39">
        <f>$AI50/Presupuesto!$H$6*Y$30</f>
        <v>70.18709677</v>
      </c>
      <c r="Z50" s="39">
        <f>$AI50/Presupuesto!$H$6*Z$30</f>
        <v>73.37741935</v>
      </c>
      <c r="AA50" s="39">
        <f>$AI50/Presupuesto!$H$6*AA$30</f>
        <v>76.56774194</v>
      </c>
      <c r="AB50" s="39">
        <f>$AI50/Presupuesto!$H$6*AB$30</f>
        <v>79.75806452</v>
      </c>
      <c r="AC50" s="39">
        <f>$AI50/Presupuesto!$H$6*AC$30</f>
        <v>82.9483871</v>
      </c>
      <c r="AD50" s="39">
        <f>$AI50/Presupuesto!$H$6*AD$30</f>
        <v>86.13870968</v>
      </c>
      <c r="AE50" s="39">
        <f>$AI50/Presupuesto!$H$6*AE$30</f>
        <v>89.32903226</v>
      </c>
      <c r="AF50" s="39">
        <f>$AI50/Presupuesto!$H$6*AF$30</f>
        <v>92.51935484</v>
      </c>
      <c r="AG50" s="39">
        <f>$AI50/Presupuesto!$H$6*AG$30</f>
        <v>95.70967742</v>
      </c>
      <c r="AH50" s="39">
        <f>$AI50/Presupuesto!$H$6*AH$30</f>
        <v>98.9</v>
      </c>
      <c r="AI50" s="220">
        <f>Presupuesto!K27</f>
        <v>98.9</v>
      </c>
    </row>
    <row r="51">
      <c r="A51" s="72"/>
      <c r="B51" s="16" t="s">
        <v>931</v>
      </c>
      <c r="C51" s="22" t="s">
        <v>933</v>
      </c>
      <c r="D51" s="39">
        <f>$AI51/Presupuesto!$H$6*D$30</f>
        <v>3.883870968</v>
      </c>
      <c r="E51" s="39">
        <f>$AI51/Presupuesto!$H$6*E$30</f>
        <v>7.767741935</v>
      </c>
      <c r="F51" s="39">
        <f>$AI51/Presupuesto!$H$6*F$30</f>
        <v>11.6516129</v>
      </c>
      <c r="G51" s="39">
        <f>$AI51/Presupuesto!$H$6*G$30</f>
        <v>15.53548387</v>
      </c>
      <c r="H51" s="39">
        <f>$AI51/Presupuesto!$H$6*H$30</f>
        <v>19.41935484</v>
      </c>
      <c r="I51" s="39">
        <f>$AI51/Presupuesto!$H$6*I$30</f>
        <v>23.30322581</v>
      </c>
      <c r="J51" s="39">
        <f>$AI51/Presupuesto!$H$6*J$30</f>
        <v>27.18709677</v>
      </c>
      <c r="K51" s="39">
        <f>$AI51/Presupuesto!$H$6*K$30</f>
        <v>31.07096774</v>
      </c>
      <c r="L51" s="39">
        <f>$AI51/Presupuesto!$H$6*L$30</f>
        <v>34.95483871</v>
      </c>
      <c r="M51" s="39">
        <f>$AI51/Presupuesto!$H$6*M$30</f>
        <v>38.83870968</v>
      </c>
      <c r="N51" s="39">
        <f>$AI51/Presupuesto!$H$6*N$30</f>
        <v>42.72258065</v>
      </c>
      <c r="O51" s="39">
        <f>$AI51/Presupuesto!$H$6*O$30</f>
        <v>46.60645161</v>
      </c>
      <c r="P51" s="39">
        <f>$AI51/Presupuesto!$H$6*P$30</f>
        <v>50.49032258</v>
      </c>
      <c r="Q51" s="39">
        <f>$AI51/Presupuesto!$H$6*Q$30</f>
        <v>54.37419355</v>
      </c>
      <c r="R51" s="39">
        <f>$AI51/Presupuesto!$H$6*R$30</f>
        <v>58.25806452</v>
      </c>
      <c r="S51" s="39">
        <f>$AI51/Presupuesto!$H$6*S$30</f>
        <v>62.14193548</v>
      </c>
      <c r="T51" s="39">
        <f>$AI51/Presupuesto!$H$6*T$30</f>
        <v>66.02580645</v>
      </c>
      <c r="U51" s="39">
        <f>$AI51/Presupuesto!$H$6*U$30</f>
        <v>69.90967742</v>
      </c>
      <c r="V51" s="39">
        <f>$AI51/Presupuesto!$H$6*V$30</f>
        <v>73.79354839</v>
      </c>
      <c r="W51" s="39">
        <f>$AI51/Presupuesto!$H$6*W$30</f>
        <v>77.67741935</v>
      </c>
      <c r="X51" s="39">
        <f>$AI51/Presupuesto!$H$6*X$30</f>
        <v>81.56129032</v>
      </c>
      <c r="Y51" s="39">
        <f>$AI51/Presupuesto!$H$6*Y$30</f>
        <v>85.44516129</v>
      </c>
      <c r="Z51" s="39">
        <f>$AI51/Presupuesto!$H$6*Z$30</f>
        <v>89.32903226</v>
      </c>
      <c r="AA51" s="39">
        <f>$AI51/Presupuesto!$H$6*AA$30</f>
        <v>93.21290323</v>
      </c>
      <c r="AB51" s="39">
        <f>$AI51/Presupuesto!$H$6*AB$30</f>
        <v>97.09677419</v>
      </c>
      <c r="AC51" s="39">
        <f>$AI51/Presupuesto!$H$6*AC$30</f>
        <v>100.9806452</v>
      </c>
      <c r="AD51" s="39">
        <f>$AI51/Presupuesto!$H$6*AD$30</f>
        <v>104.8645161</v>
      </c>
      <c r="AE51" s="39">
        <f>$AI51/Presupuesto!$H$6*AE$30</f>
        <v>108.7483871</v>
      </c>
      <c r="AF51" s="39">
        <f>$AI51/Presupuesto!$H$6*AF$30</f>
        <v>112.6322581</v>
      </c>
      <c r="AG51" s="39">
        <f>$AI51/Presupuesto!$H$6*AG$30</f>
        <v>116.516129</v>
      </c>
      <c r="AH51" s="39">
        <f>$AI51/Presupuesto!$H$6*AH$30</f>
        <v>120.4</v>
      </c>
      <c r="AI51" s="220">
        <f>Presupuesto!K28</f>
        <v>120.4</v>
      </c>
    </row>
    <row r="52">
      <c r="A52" s="72"/>
      <c r="B52" s="16" t="s">
        <v>934</v>
      </c>
      <c r="C52" s="78" t="s">
        <v>9</v>
      </c>
      <c r="D52" s="39">
        <f>$AI52/Presupuesto!$H$6*D$30</f>
        <v>4.838709677</v>
      </c>
      <c r="E52" s="39">
        <f>$AI52/Presupuesto!$H$6*E$30</f>
        <v>9.677419355</v>
      </c>
      <c r="F52" s="39">
        <f>$AI52/Presupuesto!$H$6*F$30</f>
        <v>14.51612903</v>
      </c>
      <c r="G52" s="39">
        <f>$AI52/Presupuesto!$H$6*G$30</f>
        <v>19.35483871</v>
      </c>
      <c r="H52" s="39">
        <f>$AI52/Presupuesto!$H$6*H$30</f>
        <v>24.19354839</v>
      </c>
      <c r="I52" s="39">
        <f>$AI52/Presupuesto!$H$6*I$30</f>
        <v>29.03225806</v>
      </c>
      <c r="J52" s="39">
        <f>$AI52/Presupuesto!$H$6*J$30</f>
        <v>33.87096774</v>
      </c>
      <c r="K52" s="39">
        <f>$AI52/Presupuesto!$H$6*K$30</f>
        <v>38.70967742</v>
      </c>
      <c r="L52" s="39">
        <f>$AI52/Presupuesto!$H$6*L$30</f>
        <v>43.5483871</v>
      </c>
      <c r="M52" s="39">
        <f>$AI52/Presupuesto!$H$6*M$30</f>
        <v>48.38709677</v>
      </c>
      <c r="N52" s="39">
        <f>$AI52/Presupuesto!$H$6*N$30</f>
        <v>53.22580645</v>
      </c>
      <c r="O52" s="39">
        <f>$AI52/Presupuesto!$H$6*O$30</f>
        <v>58.06451613</v>
      </c>
      <c r="P52" s="39">
        <f>$AI52/Presupuesto!$H$6*P$30</f>
        <v>62.90322581</v>
      </c>
      <c r="Q52" s="39">
        <f>$AI52/Presupuesto!$H$6*Q$30</f>
        <v>67.74193548</v>
      </c>
      <c r="R52" s="39">
        <f>$AI52/Presupuesto!$H$6*R$30</f>
        <v>72.58064516</v>
      </c>
      <c r="S52" s="39">
        <f>$AI52/Presupuesto!$H$6*S$30</f>
        <v>77.41935484</v>
      </c>
      <c r="T52" s="39">
        <f>$AI52/Presupuesto!$H$6*T$30</f>
        <v>82.25806452</v>
      </c>
      <c r="U52" s="39">
        <f>$AI52/Presupuesto!$H$6*U$30</f>
        <v>87.09677419</v>
      </c>
      <c r="V52" s="39">
        <f>$AI52/Presupuesto!$H$6*V$30</f>
        <v>91.93548387</v>
      </c>
      <c r="W52" s="39">
        <f>$AI52/Presupuesto!$H$6*W$30</f>
        <v>96.77419355</v>
      </c>
      <c r="X52" s="39">
        <f>$AI52/Presupuesto!$H$6*X$30</f>
        <v>101.6129032</v>
      </c>
      <c r="Y52" s="39">
        <f>$AI52/Presupuesto!$H$6*Y$30</f>
        <v>106.4516129</v>
      </c>
      <c r="Z52" s="39">
        <f>$AI52/Presupuesto!$H$6*Z$30</f>
        <v>111.2903226</v>
      </c>
      <c r="AA52" s="39">
        <f>$AI52/Presupuesto!$H$6*AA$30</f>
        <v>116.1290323</v>
      </c>
      <c r="AB52" s="39">
        <f>$AI52/Presupuesto!$H$6*AB$30</f>
        <v>120.9677419</v>
      </c>
      <c r="AC52" s="39">
        <f>$AI52/Presupuesto!$H$6*AC$30</f>
        <v>125.8064516</v>
      </c>
      <c r="AD52" s="39">
        <f>$AI52/Presupuesto!$H$6*AD$30</f>
        <v>130.6451613</v>
      </c>
      <c r="AE52" s="39">
        <f>$AI52/Presupuesto!$H$6*AE$30</f>
        <v>135.483871</v>
      </c>
      <c r="AF52" s="39">
        <f>$AI52/Presupuesto!$H$6*AF$30</f>
        <v>140.3225806</v>
      </c>
      <c r="AG52" s="39">
        <f>$AI52/Presupuesto!$H$6*AG$30</f>
        <v>145.1612903</v>
      </c>
      <c r="AH52" s="39">
        <f>$AI52/Presupuesto!$H$6*AH$30</f>
        <v>150</v>
      </c>
      <c r="AI52" s="220">
        <f>Presupuesto!K29</f>
        <v>150</v>
      </c>
    </row>
    <row r="53">
      <c r="A53" s="72"/>
      <c r="B53" s="16" t="s">
        <v>934</v>
      </c>
      <c r="C53" s="16" t="s">
        <v>936</v>
      </c>
      <c r="D53" s="39">
        <f>$AI53/Presupuesto!$H$6*D$30</f>
        <v>4.161290323</v>
      </c>
      <c r="E53" s="39">
        <f>$AI53/Presupuesto!$H$6*E$30</f>
        <v>8.322580645</v>
      </c>
      <c r="F53" s="39">
        <f>$AI53/Presupuesto!$H$6*F$30</f>
        <v>12.48387097</v>
      </c>
      <c r="G53" s="39">
        <f>$AI53/Presupuesto!$H$6*G$30</f>
        <v>16.64516129</v>
      </c>
      <c r="H53" s="39">
        <f>$AI53/Presupuesto!$H$6*H$30</f>
        <v>20.80645161</v>
      </c>
      <c r="I53" s="39">
        <f>$AI53/Presupuesto!$H$6*I$30</f>
        <v>24.96774194</v>
      </c>
      <c r="J53" s="39">
        <f>$AI53/Presupuesto!$H$6*J$30</f>
        <v>29.12903226</v>
      </c>
      <c r="K53" s="39">
        <f>$AI53/Presupuesto!$H$6*K$30</f>
        <v>33.29032258</v>
      </c>
      <c r="L53" s="39">
        <f>$AI53/Presupuesto!$H$6*L$30</f>
        <v>37.4516129</v>
      </c>
      <c r="M53" s="39">
        <f>$AI53/Presupuesto!$H$6*M$30</f>
        <v>41.61290323</v>
      </c>
      <c r="N53" s="39">
        <f>$AI53/Presupuesto!$H$6*N$30</f>
        <v>45.77419355</v>
      </c>
      <c r="O53" s="39">
        <f>$AI53/Presupuesto!$H$6*O$30</f>
        <v>49.93548387</v>
      </c>
      <c r="P53" s="39">
        <f>$AI53/Presupuesto!$H$6*P$30</f>
        <v>54.09677419</v>
      </c>
      <c r="Q53" s="39">
        <f>$AI53/Presupuesto!$H$6*Q$30</f>
        <v>58.25806452</v>
      </c>
      <c r="R53" s="39">
        <f>$AI53/Presupuesto!$H$6*R$30</f>
        <v>62.41935484</v>
      </c>
      <c r="S53" s="39">
        <f>$AI53/Presupuesto!$H$6*S$30</f>
        <v>66.58064516</v>
      </c>
      <c r="T53" s="39">
        <f>$AI53/Presupuesto!$H$6*T$30</f>
        <v>70.74193548</v>
      </c>
      <c r="U53" s="39">
        <f>$AI53/Presupuesto!$H$6*U$30</f>
        <v>74.90322581</v>
      </c>
      <c r="V53" s="39">
        <f>$AI53/Presupuesto!$H$6*V$30</f>
        <v>79.06451613</v>
      </c>
      <c r="W53" s="39">
        <f>$AI53/Presupuesto!$H$6*W$30</f>
        <v>83.22580645</v>
      </c>
      <c r="X53" s="39">
        <f>$AI53/Presupuesto!$H$6*X$30</f>
        <v>87.38709677</v>
      </c>
      <c r="Y53" s="39">
        <f>$AI53/Presupuesto!$H$6*Y$30</f>
        <v>91.5483871</v>
      </c>
      <c r="Z53" s="39">
        <f>$AI53/Presupuesto!$H$6*Z$30</f>
        <v>95.70967742</v>
      </c>
      <c r="AA53" s="39">
        <f>$AI53/Presupuesto!$H$6*AA$30</f>
        <v>99.87096774</v>
      </c>
      <c r="AB53" s="39">
        <f>$AI53/Presupuesto!$H$6*AB$30</f>
        <v>104.0322581</v>
      </c>
      <c r="AC53" s="39">
        <f>$AI53/Presupuesto!$H$6*AC$30</f>
        <v>108.1935484</v>
      </c>
      <c r="AD53" s="39">
        <f>$AI53/Presupuesto!$H$6*AD$30</f>
        <v>112.3548387</v>
      </c>
      <c r="AE53" s="39">
        <f>$AI53/Presupuesto!$H$6*AE$30</f>
        <v>116.516129</v>
      </c>
      <c r="AF53" s="39">
        <f>$AI53/Presupuesto!$H$6*AF$30</f>
        <v>120.6774194</v>
      </c>
      <c r="AG53" s="39">
        <f>$AI53/Presupuesto!$H$6*AG$30</f>
        <v>124.8387097</v>
      </c>
      <c r="AH53" s="39">
        <f>$AI53/Presupuesto!$H$6*AH$30</f>
        <v>129</v>
      </c>
      <c r="AI53" s="220">
        <f>Presupuesto!K30</f>
        <v>129</v>
      </c>
    </row>
    <row r="54">
      <c r="A54" s="75"/>
      <c r="B54" s="16" t="s">
        <v>934</v>
      </c>
      <c r="C54" s="16" t="s">
        <v>16</v>
      </c>
      <c r="D54" s="39">
        <f>$AI54/Presupuesto!$H$6*D$30</f>
        <v>2.774193548</v>
      </c>
      <c r="E54" s="39">
        <f>$AI54/Presupuesto!$H$6*E$30</f>
        <v>5.548387097</v>
      </c>
      <c r="F54" s="39">
        <f>$AI54/Presupuesto!$H$6*F$30</f>
        <v>8.322580645</v>
      </c>
      <c r="G54" s="39">
        <f>$AI54/Presupuesto!$H$6*G$30</f>
        <v>11.09677419</v>
      </c>
      <c r="H54" s="39">
        <f>$AI54/Presupuesto!$H$6*H$30</f>
        <v>13.87096774</v>
      </c>
      <c r="I54" s="39">
        <f>$AI54/Presupuesto!$H$6*I$30</f>
        <v>16.64516129</v>
      </c>
      <c r="J54" s="39">
        <f>$AI54/Presupuesto!$H$6*J$30</f>
        <v>19.41935484</v>
      </c>
      <c r="K54" s="39">
        <f>$AI54/Presupuesto!$H$6*K$30</f>
        <v>22.19354839</v>
      </c>
      <c r="L54" s="39">
        <f>$AI54/Presupuesto!$H$6*L$30</f>
        <v>24.96774194</v>
      </c>
      <c r="M54" s="39">
        <f>$AI54/Presupuesto!$H$6*M$30</f>
        <v>27.74193548</v>
      </c>
      <c r="N54" s="39">
        <f>$AI54/Presupuesto!$H$6*N$30</f>
        <v>30.51612903</v>
      </c>
      <c r="O54" s="39">
        <f>$AI54/Presupuesto!$H$6*O$30</f>
        <v>33.29032258</v>
      </c>
      <c r="P54" s="39">
        <f>$AI54/Presupuesto!$H$6*P$30</f>
        <v>36.06451613</v>
      </c>
      <c r="Q54" s="39">
        <f>$AI54/Presupuesto!$H$6*Q$30</f>
        <v>38.83870968</v>
      </c>
      <c r="R54" s="39">
        <f>$AI54/Presupuesto!$H$6*R$30</f>
        <v>41.61290323</v>
      </c>
      <c r="S54" s="39">
        <f>$AI54/Presupuesto!$H$6*S$30</f>
        <v>44.38709677</v>
      </c>
      <c r="T54" s="39">
        <f>$AI54/Presupuesto!$H$6*T$30</f>
        <v>47.16129032</v>
      </c>
      <c r="U54" s="39">
        <f>$AI54/Presupuesto!$H$6*U$30</f>
        <v>49.93548387</v>
      </c>
      <c r="V54" s="39">
        <f>$AI54/Presupuesto!$H$6*V$30</f>
        <v>52.70967742</v>
      </c>
      <c r="W54" s="39">
        <f>$AI54/Presupuesto!$H$6*W$30</f>
        <v>55.48387097</v>
      </c>
      <c r="X54" s="39">
        <f>$AI54/Presupuesto!$H$6*X$30</f>
        <v>58.25806452</v>
      </c>
      <c r="Y54" s="39">
        <f>$AI54/Presupuesto!$H$6*Y$30</f>
        <v>61.03225806</v>
      </c>
      <c r="Z54" s="39">
        <f>$AI54/Presupuesto!$H$6*Z$30</f>
        <v>63.80645161</v>
      </c>
      <c r="AA54" s="39">
        <f>$AI54/Presupuesto!$H$6*AA$30</f>
        <v>66.58064516</v>
      </c>
      <c r="AB54" s="39">
        <f>$AI54/Presupuesto!$H$6*AB$30</f>
        <v>69.35483871</v>
      </c>
      <c r="AC54" s="39">
        <f>$AI54/Presupuesto!$H$6*AC$30</f>
        <v>72.12903226</v>
      </c>
      <c r="AD54" s="39">
        <f>$AI54/Presupuesto!$H$6*AD$30</f>
        <v>74.90322581</v>
      </c>
      <c r="AE54" s="39">
        <f>$AI54/Presupuesto!$H$6*AE$30</f>
        <v>77.67741935</v>
      </c>
      <c r="AF54" s="39">
        <f>$AI54/Presupuesto!$H$6*AF$30</f>
        <v>80.4516129</v>
      </c>
      <c r="AG54" s="39">
        <f>$AI54/Presupuesto!$H$6*AG$30</f>
        <v>83.22580645</v>
      </c>
      <c r="AH54" s="39">
        <f>$AI54/Presupuesto!$H$6*AH$30</f>
        <v>86</v>
      </c>
      <c r="AI54" s="220">
        <f>Presupuesto!K31</f>
        <v>86</v>
      </c>
    </row>
    <row r="55">
      <c r="B55" s="16" t="s">
        <v>934</v>
      </c>
      <c r="C55" s="16" t="s">
        <v>18</v>
      </c>
      <c r="D55" s="39">
        <f>$AI55/Presupuesto!$H$6*D$30</f>
        <v>0</v>
      </c>
      <c r="E55" s="39">
        <f>$AI55/Presupuesto!$H$6*E$30</f>
        <v>0</v>
      </c>
      <c r="F55" s="39">
        <f>$AI55/Presupuesto!$H$6*F$30</f>
        <v>0</v>
      </c>
      <c r="G55" s="39">
        <f>$AI55/Presupuesto!$H$6*G$30</f>
        <v>0</v>
      </c>
      <c r="H55" s="39">
        <f>$AI55/Presupuesto!$H$6*H$30</f>
        <v>0</v>
      </c>
      <c r="I55" s="39">
        <f>$AI55/Presupuesto!$H$6*I$30</f>
        <v>0</v>
      </c>
      <c r="J55" s="39">
        <f>$AI55/Presupuesto!$H$6*J$30</f>
        <v>0</v>
      </c>
      <c r="K55" s="39">
        <f>$AI55/Presupuesto!$H$6*K$30</f>
        <v>0</v>
      </c>
      <c r="L55" s="39">
        <f>$AI55/Presupuesto!$H$6*L$30</f>
        <v>0</v>
      </c>
      <c r="M55" s="39">
        <f>$AI55/Presupuesto!$H$6*M$30</f>
        <v>0</v>
      </c>
      <c r="N55" s="39">
        <f>$AI55/Presupuesto!$H$6*N$30</f>
        <v>0</v>
      </c>
      <c r="O55" s="39">
        <f>$AI55/Presupuesto!$H$6*O$30</f>
        <v>0</v>
      </c>
      <c r="P55" s="39">
        <f>$AI55/Presupuesto!$H$6*P$30</f>
        <v>0</v>
      </c>
      <c r="Q55" s="39">
        <f>$AI55/Presupuesto!$H$6*Q$30</f>
        <v>0</v>
      </c>
      <c r="R55" s="39">
        <f>$AI55/Presupuesto!$H$6*R$30</f>
        <v>0</v>
      </c>
      <c r="S55" s="39">
        <f>$AI55/Presupuesto!$H$6*S$30</f>
        <v>0</v>
      </c>
      <c r="T55" s="39">
        <f>$AI55/Presupuesto!$H$6*T$30</f>
        <v>0</v>
      </c>
      <c r="U55" s="39">
        <f>$AI55/Presupuesto!$H$6*U$30</f>
        <v>0</v>
      </c>
      <c r="V55" s="39">
        <f>$AI55/Presupuesto!$H$6*V$30</f>
        <v>0</v>
      </c>
      <c r="W55" s="39">
        <f>$AI55/Presupuesto!$H$6*W$30</f>
        <v>0</v>
      </c>
      <c r="X55" s="39">
        <f>$AI55/Presupuesto!$H$6*X$30</f>
        <v>0</v>
      </c>
      <c r="Y55" s="39">
        <f>$AI55/Presupuesto!$H$6*Y$30</f>
        <v>0</v>
      </c>
      <c r="Z55" s="39">
        <f>$AI55/Presupuesto!$H$6*Z$30</f>
        <v>0</v>
      </c>
      <c r="AA55" s="39">
        <f>$AI55/Presupuesto!$H$6*AA$30</f>
        <v>0</v>
      </c>
      <c r="AB55" s="39">
        <f>$AI55/Presupuesto!$H$6*AB$30</f>
        <v>0</v>
      </c>
      <c r="AC55" s="39">
        <f>$AI55/Presupuesto!$H$6*AC$30</f>
        <v>0</v>
      </c>
      <c r="AD55" s="39">
        <f>$AI55/Presupuesto!$H$6*AD$30</f>
        <v>0</v>
      </c>
      <c r="AE55" s="39">
        <f>$AI55/Presupuesto!$H$6*AE$30</f>
        <v>0</v>
      </c>
      <c r="AF55" s="39">
        <f>$AI55/Presupuesto!$H$6*AF$30</f>
        <v>0</v>
      </c>
      <c r="AG55" s="39">
        <f>$AI55/Presupuesto!$H$6*AG$30</f>
        <v>0</v>
      </c>
      <c r="AH55" s="39">
        <f>$AI55/Presupuesto!$H$6*AH$30</f>
        <v>0</v>
      </c>
      <c r="AI55" s="220" t="str">
        <f>Presupuesto!K32</f>
        <v/>
      </c>
    </row>
    <row r="56">
      <c r="C56" s="219" t="s">
        <v>130</v>
      </c>
      <c r="D56" s="220">
        <f t="shared" ref="D56:AI56" si="5">SUM(D32:D54)</f>
        <v>101.7354839</v>
      </c>
      <c r="E56" s="220">
        <f t="shared" si="5"/>
        <v>203.4709677</v>
      </c>
      <c r="F56" s="220">
        <f t="shared" si="5"/>
        <v>305.2064516</v>
      </c>
      <c r="G56" s="220">
        <f t="shared" si="5"/>
        <v>406.9419355</v>
      </c>
      <c r="H56" s="220">
        <f t="shared" si="5"/>
        <v>508.6774194</v>
      </c>
      <c r="I56" s="220">
        <f t="shared" si="5"/>
        <v>610.4129032</v>
      </c>
      <c r="J56" s="220">
        <f t="shared" si="5"/>
        <v>712.1483871</v>
      </c>
      <c r="K56" s="220">
        <f t="shared" si="5"/>
        <v>813.883871</v>
      </c>
      <c r="L56" s="220">
        <f t="shared" si="5"/>
        <v>915.6193548</v>
      </c>
      <c r="M56" s="220">
        <f t="shared" si="5"/>
        <v>1017.354839</v>
      </c>
      <c r="N56" s="220">
        <f t="shared" si="5"/>
        <v>1119.090323</v>
      </c>
      <c r="O56" s="220">
        <f t="shared" si="5"/>
        <v>1220.825806</v>
      </c>
      <c r="P56" s="220">
        <f t="shared" si="5"/>
        <v>1322.56129</v>
      </c>
      <c r="Q56" s="220">
        <f t="shared" si="5"/>
        <v>1424.296774</v>
      </c>
      <c r="R56" s="220">
        <f t="shared" si="5"/>
        <v>1526.032258</v>
      </c>
      <c r="S56" s="220">
        <f t="shared" si="5"/>
        <v>1627.767742</v>
      </c>
      <c r="T56" s="220">
        <f t="shared" si="5"/>
        <v>1729.503226</v>
      </c>
      <c r="U56" s="220">
        <f t="shared" si="5"/>
        <v>1831.23871</v>
      </c>
      <c r="V56" s="220">
        <f t="shared" si="5"/>
        <v>1932.974194</v>
      </c>
      <c r="W56" s="220">
        <f t="shared" si="5"/>
        <v>2034.709677</v>
      </c>
      <c r="X56" s="220">
        <f t="shared" si="5"/>
        <v>2136.445161</v>
      </c>
      <c r="Y56" s="220">
        <f t="shared" si="5"/>
        <v>2238.180645</v>
      </c>
      <c r="Z56" s="220">
        <f t="shared" si="5"/>
        <v>2339.916129</v>
      </c>
      <c r="AA56" s="220">
        <f t="shared" si="5"/>
        <v>2441.651613</v>
      </c>
      <c r="AB56" s="220">
        <f t="shared" si="5"/>
        <v>2543.387097</v>
      </c>
      <c r="AC56" s="220">
        <f t="shared" si="5"/>
        <v>2645.122581</v>
      </c>
      <c r="AD56" s="220">
        <f t="shared" si="5"/>
        <v>2746.858065</v>
      </c>
      <c r="AE56" s="220">
        <f t="shared" si="5"/>
        <v>2848.593548</v>
      </c>
      <c r="AF56" s="220">
        <f t="shared" si="5"/>
        <v>2950.329032</v>
      </c>
      <c r="AG56" s="220">
        <f t="shared" si="5"/>
        <v>3052.064516</v>
      </c>
      <c r="AH56" s="220">
        <f t="shared" si="5"/>
        <v>3153.8</v>
      </c>
      <c r="AI56" s="220">
        <f t="shared" si="5"/>
        <v>3153.8</v>
      </c>
    </row>
    <row r="57"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</row>
    <row r="58">
      <c r="B58" s="15" t="s">
        <v>958</v>
      </c>
      <c r="C58" s="16" t="s">
        <v>81</v>
      </c>
      <c r="D58" s="16">
        <v>1.0</v>
      </c>
      <c r="E58" s="216">
        <f t="shared" ref="E58:AH58" si="6">D58+1</f>
        <v>2</v>
      </c>
      <c r="F58" s="216">
        <f t="shared" si="6"/>
        <v>3</v>
      </c>
      <c r="G58" s="216">
        <f t="shared" si="6"/>
        <v>4</v>
      </c>
      <c r="H58" s="216">
        <f t="shared" si="6"/>
        <v>5</v>
      </c>
      <c r="I58" s="216">
        <f t="shared" si="6"/>
        <v>6</v>
      </c>
      <c r="J58" s="216">
        <f t="shared" si="6"/>
        <v>7</v>
      </c>
      <c r="K58" s="216">
        <f t="shared" si="6"/>
        <v>8</v>
      </c>
      <c r="L58" s="216">
        <f t="shared" si="6"/>
        <v>9</v>
      </c>
      <c r="M58" s="216">
        <f t="shared" si="6"/>
        <v>10</v>
      </c>
      <c r="N58" s="216">
        <f t="shared" si="6"/>
        <v>11</v>
      </c>
      <c r="O58" s="216">
        <f t="shared" si="6"/>
        <v>12</v>
      </c>
      <c r="P58" s="216">
        <f t="shared" si="6"/>
        <v>13</v>
      </c>
      <c r="Q58" s="216">
        <f t="shared" si="6"/>
        <v>14</v>
      </c>
      <c r="R58" s="216">
        <f t="shared" si="6"/>
        <v>15</v>
      </c>
      <c r="S58" s="216">
        <f t="shared" si="6"/>
        <v>16</v>
      </c>
      <c r="T58" s="216">
        <f t="shared" si="6"/>
        <v>17</v>
      </c>
      <c r="U58" s="216">
        <f t="shared" si="6"/>
        <v>18</v>
      </c>
      <c r="V58" s="216">
        <f t="shared" si="6"/>
        <v>19</v>
      </c>
      <c r="W58" s="216">
        <f t="shared" si="6"/>
        <v>20</v>
      </c>
      <c r="X58" s="216">
        <f t="shared" si="6"/>
        <v>21</v>
      </c>
      <c r="Y58" s="216">
        <f t="shared" si="6"/>
        <v>22</v>
      </c>
      <c r="Z58" s="216">
        <f t="shared" si="6"/>
        <v>23</v>
      </c>
      <c r="AA58" s="216">
        <f t="shared" si="6"/>
        <v>24</v>
      </c>
      <c r="AB58" s="216">
        <f t="shared" si="6"/>
        <v>25</v>
      </c>
      <c r="AC58" s="216">
        <f t="shared" si="6"/>
        <v>26</v>
      </c>
      <c r="AD58" s="216">
        <f t="shared" si="6"/>
        <v>27</v>
      </c>
      <c r="AE58" s="216">
        <f t="shared" si="6"/>
        <v>28</v>
      </c>
      <c r="AF58" s="216">
        <f t="shared" si="6"/>
        <v>29</v>
      </c>
      <c r="AG58" s="216">
        <f t="shared" si="6"/>
        <v>30</v>
      </c>
      <c r="AH58" s="216">
        <f t="shared" si="6"/>
        <v>31</v>
      </c>
      <c r="AI58" s="15" t="s">
        <v>956</v>
      </c>
      <c r="AJ58" s="56" t="s">
        <v>959</v>
      </c>
    </row>
    <row r="59">
      <c r="B59" s="16" t="s">
        <v>3</v>
      </c>
      <c r="C59" s="16" t="s">
        <v>912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221">
        <f>MAX(Data!A:A)</f>
        <v>31</v>
      </c>
    </row>
    <row r="60">
      <c r="B60" s="16" t="s">
        <v>915</v>
      </c>
      <c r="C60" s="16" t="s">
        <v>7</v>
      </c>
      <c r="D60" s="216">
        <f t="shared" ref="D60:AH60" si="7">if($AJ$59&gt;=D$58,D4,0)*0</f>
        <v>0</v>
      </c>
      <c r="E60" s="216">
        <f t="shared" si="7"/>
        <v>0</v>
      </c>
      <c r="F60" s="216">
        <f t="shared" si="7"/>
        <v>0</v>
      </c>
      <c r="G60" s="216">
        <f t="shared" si="7"/>
        <v>0</v>
      </c>
      <c r="H60" s="216">
        <f t="shared" si="7"/>
        <v>0</v>
      </c>
      <c r="I60" s="216">
        <f t="shared" si="7"/>
        <v>0</v>
      </c>
      <c r="J60" s="216">
        <f t="shared" si="7"/>
        <v>0</v>
      </c>
      <c r="K60" s="216">
        <f t="shared" si="7"/>
        <v>0</v>
      </c>
      <c r="L60" s="216">
        <f t="shared" si="7"/>
        <v>0</v>
      </c>
      <c r="M60" s="216">
        <f t="shared" si="7"/>
        <v>0</v>
      </c>
      <c r="N60" s="216">
        <f t="shared" si="7"/>
        <v>0</v>
      </c>
      <c r="O60" s="216">
        <f t="shared" si="7"/>
        <v>0</v>
      </c>
      <c r="P60" s="216">
        <f t="shared" si="7"/>
        <v>0</v>
      </c>
      <c r="Q60" s="216">
        <f t="shared" si="7"/>
        <v>0</v>
      </c>
      <c r="R60" s="216">
        <f t="shared" si="7"/>
        <v>0</v>
      </c>
      <c r="S60" s="216">
        <f t="shared" si="7"/>
        <v>0</v>
      </c>
      <c r="T60" s="216">
        <f t="shared" si="7"/>
        <v>0</v>
      </c>
      <c r="U60" s="216">
        <f t="shared" si="7"/>
        <v>0</v>
      </c>
      <c r="V60" s="216">
        <f t="shared" si="7"/>
        <v>0</v>
      </c>
      <c r="W60" s="216">
        <f t="shared" si="7"/>
        <v>0</v>
      </c>
      <c r="X60" s="216">
        <f t="shared" si="7"/>
        <v>0</v>
      </c>
      <c r="Y60" s="216">
        <f t="shared" si="7"/>
        <v>0</v>
      </c>
      <c r="Z60" s="216">
        <f t="shared" si="7"/>
        <v>0</v>
      </c>
      <c r="AA60" s="216">
        <f t="shared" si="7"/>
        <v>0</v>
      </c>
      <c r="AB60" s="216">
        <f t="shared" si="7"/>
        <v>0</v>
      </c>
      <c r="AC60" s="216">
        <f t="shared" si="7"/>
        <v>0</v>
      </c>
      <c r="AD60" s="216">
        <f t="shared" si="7"/>
        <v>0</v>
      </c>
      <c r="AE60" s="216">
        <f t="shared" si="7"/>
        <v>0</v>
      </c>
      <c r="AF60" s="216">
        <f t="shared" si="7"/>
        <v>0</v>
      </c>
      <c r="AG60" s="216">
        <f t="shared" si="7"/>
        <v>0</v>
      </c>
      <c r="AH60" s="216">
        <f t="shared" si="7"/>
        <v>0</v>
      </c>
      <c r="AI60" s="222">
        <f t="shared" ref="AI60:AI83" si="9">INDEX(D60:AH60, $AJ$59)</f>
        <v>0</v>
      </c>
    </row>
    <row r="61">
      <c r="B61" s="16" t="s">
        <v>915</v>
      </c>
      <c r="C61" s="16" t="s">
        <v>10</v>
      </c>
      <c r="D61" s="39">
        <f t="shared" ref="D61:D73" si="10">if($AJ$59&gt;=D$58,D5,0)</f>
        <v>95</v>
      </c>
      <c r="E61" s="39">
        <f t="shared" ref="E61:AH61" si="8">if($AJ$59&gt;=E$58,D61+E5,0)</f>
        <v>95</v>
      </c>
      <c r="F61" s="39">
        <f t="shared" si="8"/>
        <v>95</v>
      </c>
      <c r="G61" s="39">
        <f t="shared" si="8"/>
        <v>95</v>
      </c>
      <c r="H61" s="39">
        <f t="shared" si="8"/>
        <v>95</v>
      </c>
      <c r="I61" s="39">
        <f t="shared" si="8"/>
        <v>95</v>
      </c>
      <c r="J61" s="39">
        <f t="shared" si="8"/>
        <v>95</v>
      </c>
      <c r="K61" s="39">
        <f t="shared" si="8"/>
        <v>95</v>
      </c>
      <c r="L61" s="39">
        <f t="shared" si="8"/>
        <v>95</v>
      </c>
      <c r="M61" s="39">
        <f t="shared" si="8"/>
        <v>95</v>
      </c>
      <c r="N61" s="39">
        <f t="shared" si="8"/>
        <v>95</v>
      </c>
      <c r="O61" s="39">
        <f t="shared" si="8"/>
        <v>95</v>
      </c>
      <c r="P61" s="39">
        <f t="shared" si="8"/>
        <v>95</v>
      </c>
      <c r="Q61" s="39">
        <f t="shared" si="8"/>
        <v>95</v>
      </c>
      <c r="R61" s="39">
        <f t="shared" si="8"/>
        <v>95</v>
      </c>
      <c r="S61" s="39">
        <f t="shared" si="8"/>
        <v>95</v>
      </c>
      <c r="T61" s="39">
        <f t="shared" si="8"/>
        <v>95</v>
      </c>
      <c r="U61" s="39">
        <f t="shared" si="8"/>
        <v>95</v>
      </c>
      <c r="V61" s="39">
        <f t="shared" si="8"/>
        <v>95</v>
      </c>
      <c r="W61" s="39">
        <f t="shared" si="8"/>
        <v>95</v>
      </c>
      <c r="X61" s="39">
        <f t="shared" si="8"/>
        <v>95</v>
      </c>
      <c r="Y61" s="39">
        <f t="shared" si="8"/>
        <v>95</v>
      </c>
      <c r="Z61" s="39">
        <f t="shared" si="8"/>
        <v>95</v>
      </c>
      <c r="AA61" s="39">
        <f t="shared" si="8"/>
        <v>95</v>
      </c>
      <c r="AB61" s="39">
        <f t="shared" si="8"/>
        <v>95</v>
      </c>
      <c r="AC61" s="39">
        <f t="shared" si="8"/>
        <v>95</v>
      </c>
      <c r="AD61" s="39">
        <f t="shared" si="8"/>
        <v>95</v>
      </c>
      <c r="AE61" s="39">
        <f t="shared" si="8"/>
        <v>95</v>
      </c>
      <c r="AF61" s="39">
        <f t="shared" si="8"/>
        <v>95</v>
      </c>
      <c r="AG61" s="39">
        <f t="shared" si="8"/>
        <v>95</v>
      </c>
      <c r="AH61" s="39">
        <f t="shared" si="8"/>
        <v>95</v>
      </c>
      <c r="AI61" s="218">
        <f t="shared" si="9"/>
        <v>95</v>
      </c>
    </row>
    <row r="62">
      <c r="B62" s="16" t="s">
        <v>921</v>
      </c>
      <c r="C62" s="177" t="s">
        <v>28</v>
      </c>
      <c r="D62" s="39">
        <f t="shared" si="10"/>
        <v>11</v>
      </c>
      <c r="E62" s="39">
        <f t="shared" ref="E62:AH62" si="11">if($AJ$59&gt;=E$58,D62+E6,0)</f>
        <v>11</v>
      </c>
      <c r="F62" s="39">
        <f t="shared" si="11"/>
        <v>33</v>
      </c>
      <c r="G62" s="39">
        <f t="shared" si="11"/>
        <v>33</v>
      </c>
      <c r="H62" s="39">
        <f t="shared" si="11"/>
        <v>33</v>
      </c>
      <c r="I62" s="39">
        <f t="shared" si="11"/>
        <v>33</v>
      </c>
      <c r="J62" s="39">
        <f t="shared" si="11"/>
        <v>33</v>
      </c>
      <c r="K62" s="39">
        <f t="shared" si="11"/>
        <v>33</v>
      </c>
      <c r="L62" s="39">
        <f t="shared" si="11"/>
        <v>77</v>
      </c>
      <c r="M62" s="39">
        <f t="shared" si="11"/>
        <v>77</v>
      </c>
      <c r="N62" s="39">
        <f t="shared" si="11"/>
        <v>77</v>
      </c>
      <c r="O62" s="39">
        <f t="shared" si="11"/>
        <v>77</v>
      </c>
      <c r="P62" s="39">
        <f t="shared" si="11"/>
        <v>77</v>
      </c>
      <c r="Q62" s="39">
        <f t="shared" si="11"/>
        <v>77</v>
      </c>
      <c r="R62" s="39">
        <f t="shared" si="11"/>
        <v>77</v>
      </c>
      <c r="S62" s="39">
        <f t="shared" si="11"/>
        <v>77</v>
      </c>
      <c r="T62" s="39">
        <f t="shared" si="11"/>
        <v>99</v>
      </c>
      <c r="U62" s="39">
        <f t="shared" si="11"/>
        <v>112</v>
      </c>
      <c r="V62" s="39">
        <f t="shared" si="11"/>
        <v>112</v>
      </c>
      <c r="W62" s="39">
        <f t="shared" si="11"/>
        <v>112</v>
      </c>
      <c r="X62" s="39">
        <f t="shared" si="11"/>
        <v>112</v>
      </c>
      <c r="Y62" s="39">
        <f t="shared" si="11"/>
        <v>112</v>
      </c>
      <c r="Z62" s="39">
        <f t="shared" si="11"/>
        <v>112</v>
      </c>
      <c r="AA62" s="39">
        <f t="shared" si="11"/>
        <v>134</v>
      </c>
      <c r="AB62" s="39">
        <f t="shared" si="11"/>
        <v>147</v>
      </c>
      <c r="AC62" s="39">
        <f t="shared" si="11"/>
        <v>147</v>
      </c>
      <c r="AD62" s="39">
        <f t="shared" si="11"/>
        <v>156</v>
      </c>
      <c r="AE62" s="39">
        <f t="shared" si="11"/>
        <v>156</v>
      </c>
      <c r="AF62" s="39">
        <f t="shared" si="11"/>
        <v>156</v>
      </c>
      <c r="AG62" s="39">
        <f t="shared" si="11"/>
        <v>156</v>
      </c>
      <c r="AH62" s="39">
        <f t="shared" si="11"/>
        <v>156</v>
      </c>
      <c r="AI62" s="218">
        <f t="shared" si="9"/>
        <v>156</v>
      </c>
    </row>
    <row r="63">
      <c r="B63" s="16" t="s">
        <v>921</v>
      </c>
      <c r="C63" s="177" t="s">
        <v>20</v>
      </c>
      <c r="D63" s="39">
        <f t="shared" si="10"/>
        <v>0</v>
      </c>
      <c r="E63" s="39">
        <f t="shared" ref="E63:AH63" si="12">if($AJ$59&gt;=E$58,D63+E7,0)</f>
        <v>39</v>
      </c>
      <c r="F63" s="39">
        <f t="shared" si="12"/>
        <v>39</v>
      </c>
      <c r="G63" s="39">
        <f t="shared" si="12"/>
        <v>124</v>
      </c>
      <c r="H63" s="39">
        <f t="shared" si="12"/>
        <v>124</v>
      </c>
      <c r="I63" s="39">
        <f t="shared" si="12"/>
        <v>124</v>
      </c>
      <c r="J63" s="39">
        <f t="shared" si="12"/>
        <v>124</v>
      </c>
      <c r="K63" s="39">
        <f t="shared" si="12"/>
        <v>124</v>
      </c>
      <c r="L63" s="39">
        <f t="shared" si="12"/>
        <v>124</v>
      </c>
      <c r="M63" s="39">
        <f t="shared" si="12"/>
        <v>124</v>
      </c>
      <c r="N63" s="39">
        <f t="shared" si="12"/>
        <v>124</v>
      </c>
      <c r="O63" s="39">
        <f t="shared" si="12"/>
        <v>124</v>
      </c>
      <c r="P63" s="39">
        <f t="shared" si="12"/>
        <v>124</v>
      </c>
      <c r="Q63" s="39">
        <f t="shared" si="12"/>
        <v>124</v>
      </c>
      <c r="R63" s="39">
        <f t="shared" si="12"/>
        <v>124</v>
      </c>
      <c r="S63" s="39">
        <f t="shared" si="12"/>
        <v>138</v>
      </c>
      <c r="T63" s="39">
        <f t="shared" si="12"/>
        <v>186</v>
      </c>
      <c r="U63" s="39">
        <f t="shared" si="12"/>
        <v>186</v>
      </c>
      <c r="V63" s="39">
        <f t="shared" si="12"/>
        <v>186</v>
      </c>
      <c r="W63" s="39">
        <f t="shared" si="12"/>
        <v>186</v>
      </c>
      <c r="X63" s="39">
        <f t="shared" si="12"/>
        <v>186</v>
      </c>
      <c r="Y63" s="39">
        <f t="shared" si="12"/>
        <v>216</v>
      </c>
      <c r="Z63" s="39">
        <f t="shared" si="12"/>
        <v>216</v>
      </c>
      <c r="AA63" s="39">
        <f t="shared" si="12"/>
        <v>216</v>
      </c>
      <c r="AB63" s="39">
        <f t="shared" si="12"/>
        <v>247</v>
      </c>
      <c r="AC63" s="39">
        <f t="shared" si="12"/>
        <v>247</v>
      </c>
      <c r="AD63" s="39">
        <f t="shared" si="12"/>
        <v>247</v>
      </c>
      <c r="AE63" s="39">
        <f t="shared" si="12"/>
        <v>247</v>
      </c>
      <c r="AF63" s="39">
        <f t="shared" si="12"/>
        <v>281</v>
      </c>
      <c r="AG63" s="39">
        <f t="shared" si="12"/>
        <v>281</v>
      </c>
      <c r="AH63" s="39">
        <f t="shared" si="12"/>
        <v>281</v>
      </c>
      <c r="AI63" s="218">
        <f t="shared" si="9"/>
        <v>281</v>
      </c>
    </row>
    <row r="64">
      <c r="B64" s="16" t="s">
        <v>921</v>
      </c>
      <c r="C64" s="177" t="s">
        <v>33</v>
      </c>
      <c r="D64" s="39">
        <f t="shared" si="10"/>
        <v>0</v>
      </c>
      <c r="E64" s="39">
        <f t="shared" ref="E64:AH64" si="13">if($AJ$59&gt;=E$58,D64+E8,0)</f>
        <v>0</v>
      </c>
      <c r="F64" s="39">
        <f t="shared" si="13"/>
        <v>0</v>
      </c>
      <c r="G64" s="39">
        <f t="shared" si="13"/>
        <v>0</v>
      </c>
      <c r="H64" s="39">
        <f t="shared" si="13"/>
        <v>24</v>
      </c>
      <c r="I64" s="39">
        <f t="shared" si="13"/>
        <v>24</v>
      </c>
      <c r="J64" s="39">
        <f t="shared" si="13"/>
        <v>40</v>
      </c>
      <c r="K64" s="39">
        <f t="shared" si="13"/>
        <v>40</v>
      </c>
      <c r="L64" s="39">
        <f t="shared" si="13"/>
        <v>40</v>
      </c>
      <c r="M64" s="39">
        <f t="shared" si="13"/>
        <v>40</v>
      </c>
      <c r="N64" s="39">
        <f t="shared" si="13"/>
        <v>40</v>
      </c>
      <c r="O64" s="39">
        <f t="shared" si="13"/>
        <v>40</v>
      </c>
      <c r="P64" s="39">
        <f t="shared" si="13"/>
        <v>40</v>
      </c>
      <c r="Q64" s="39">
        <f t="shared" si="13"/>
        <v>56</v>
      </c>
      <c r="R64" s="39">
        <f t="shared" si="13"/>
        <v>56</v>
      </c>
      <c r="S64" s="39">
        <f t="shared" si="13"/>
        <v>68</v>
      </c>
      <c r="T64" s="39">
        <f t="shared" si="13"/>
        <v>68</v>
      </c>
      <c r="U64" s="39">
        <f t="shared" si="13"/>
        <v>68</v>
      </c>
      <c r="V64" s="39">
        <f t="shared" si="13"/>
        <v>68</v>
      </c>
      <c r="W64" s="39">
        <f t="shared" si="13"/>
        <v>68</v>
      </c>
      <c r="X64" s="39">
        <f t="shared" si="13"/>
        <v>84</v>
      </c>
      <c r="Y64" s="39">
        <f t="shared" si="13"/>
        <v>84</v>
      </c>
      <c r="Z64" s="39">
        <f t="shared" si="13"/>
        <v>84</v>
      </c>
      <c r="AA64" s="39">
        <f t="shared" si="13"/>
        <v>160</v>
      </c>
      <c r="AB64" s="39">
        <f t="shared" si="13"/>
        <v>160</v>
      </c>
      <c r="AC64" s="39">
        <f t="shared" si="13"/>
        <v>160</v>
      </c>
      <c r="AD64" s="39">
        <f t="shared" si="13"/>
        <v>160</v>
      </c>
      <c r="AE64" s="39">
        <f t="shared" si="13"/>
        <v>176</v>
      </c>
      <c r="AF64" s="39">
        <f t="shared" si="13"/>
        <v>190</v>
      </c>
      <c r="AG64" s="39">
        <f t="shared" si="13"/>
        <v>190</v>
      </c>
      <c r="AH64" s="39">
        <f t="shared" si="13"/>
        <v>190</v>
      </c>
      <c r="AI64" s="218">
        <f t="shared" si="9"/>
        <v>190</v>
      </c>
    </row>
    <row r="65">
      <c r="B65" s="16" t="s">
        <v>921</v>
      </c>
      <c r="C65" s="177" t="s">
        <v>24</v>
      </c>
      <c r="D65" s="39">
        <f t="shared" si="10"/>
        <v>0</v>
      </c>
      <c r="E65" s="39">
        <f t="shared" ref="E65:AH65" si="14">if($AJ$59&gt;=E$58,D65+E9,0)</f>
        <v>110</v>
      </c>
      <c r="F65" s="39">
        <f t="shared" si="14"/>
        <v>110</v>
      </c>
      <c r="G65" s="39">
        <f t="shared" si="14"/>
        <v>110</v>
      </c>
      <c r="H65" s="39">
        <f t="shared" si="14"/>
        <v>110</v>
      </c>
      <c r="I65" s="39">
        <f t="shared" si="14"/>
        <v>110</v>
      </c>
      <c r="J65" s="39">
        <f t="shared" si="14"/>
        <v>110</v>
      </c>
      <c r="K65" s="39">
        <f t="shared" si="14"/>
        <v>120</v>
      </c>
      <c r="L65" s="39">
        <f t="shared" si="14"/>
        <v>293</v>
      </c>
      <c r="M65" s="39">
        <f t="shared" si="14"/>
        <v>320</v>
      </c>
      <c r="N65" s="39">
        <f t="shared" si="14"/>
        <v>320</v>
      </c>
      <c r="O65" s="39">
        <f t="shared" si="14"/>
        <v>320</v>
      </c>
      <c r="P65" s="39">
        <f t="shared" si="14"/>
        <v>320</v>
      </c>
      <c r="Q65" s="39">
        <f t="shared" si="14"/>
        <v>320</v>
      </c>
      <c r="R65" s="39">
        <f t="shared" si="14"/>
        <v>584</v>
      </c>
      <c r="S65" s="39">
        <f t="shared" si="14"/>
        <v>584</v>
      </c>
      <c r="T65" s="39">
        <f t="shared" si="14"/>
        <v>584</v>
      </c>
      <c r="U65" s="39">
        <f t="shared" si="14"/>
        <v>609</v>
      </c>
      <c r="V65" s="39">
        <f t="shared" si="14"/>
        <v>609</v>
      </c>
      <c r="W65" s="39">
        <f t="shared" si="14"/>
        <v>609</v>
      </c>
      <c r="X65" s="39">
        <f t="shared" si="14"/>
        <v>609</v>
      </c>
      <c r="Y65" s="39">
        <f t="shared" si="14"/>
        <v>609</v>
      </c>
      <c r="Z65" s="39">
        <f t="shared" si="14"/>
        <v>639</v>
      </c>
      <c r="AA65" s="39">
        <f t="shared" si="14"/>
        <v>664</v>
      </c>
      <c r="AB65" s="39">
        <f t="shared" si="14"/>
        <v>681</v>
      </c>
      <c r="AC65" s="39">
        <f t="shared" si="14"/>
        <v>681</v>
      </c>
      <c r="AD65" s="39">
        <f t="shared" si="14"/>
        <v>681</v>
      </c>
      <c r="AE65" s="39">
        <f t="shared" si="14"/>
        <v>681</v>
      </c>
      <c r="AF65" s="39">
        <f t="shared" si="14"/>
        <v>866</v>
      </c>
      <c r="AG65" s="39">
        <f t="shared" si="14"/>
        <v>866</v>
      </c>
      <c r="AH65" s="39">
        <f t="shared" si="14"/>
        <v>866</v>
      </c>
      <c r="AI65" s="218">
        <f t="shared" si="9"/>
        <v>866</v>
      </c>
    </row>
    <row r="66">
      <c r="B66" s="16" t="s">
        <v>922</v>
      </c>
      <c r="C66" s="183" t="s">
        <v>86</v>
      </c>
      <c r="D66" s="39">
        <f t="shared" si="10"/>
        <v>0</v>
      </c>
      <c r="E66" s="39">
        <f t="shared" ref="E66:AH66" si="15">if($AJ$59&gt;=E$58,D66+E10,0)</f>
        <v>0</v>
      </c>
      <c r="F66" s="39">
        <f t="shared" si="15"/>
        <v>0</v>
      </c>
      <c r="G66" s="39">
        <f t="shared" si="15"/>
        <v>0</v>
      </c>
      <c r="H66" s="39">
        <f t="shared" si="15"/>
        <v>0</v>
      </c>
      <c r="I66" s="39">
        <f t="shared" si="15"/>
        <v>0</v>
      </c>
      <c r="J66" s="39">
        <f t="shared" si="15"/>
        <v>0</v>
      </c>
      <c r="K66" s="39">
        <f t="shared" si="15"/>
        <v>0</v>
      </c>
      <c r="L66" s="39">
        <f t="shared" si="15"/>
        <v>0</v>
      </c>
      <c r="M66" s="39">
        <f t="shared" si="15"/>
        <v>0</v>
      </c>
      <c r="N66" s="39">
        <f t="shared" si="15"/>
        <v>0</v>
      </c>
      <c r="O66" s="39">
        <f t="shared" si="15"/>
        <v>0</v>
      </c>
      <c r="P66" s="39">
        <f t="shared" si="15"/>
        <v>0</v>
      </c>
      <c r="Q66" s="39">
        <f t="shared" si="15"/>
        <v>0</v>
      </c>
      <c r="R66" s="39">
        <f t="shared" si="15"/>
        <v>0</v>
      </c>
      <c r="S66" s="39">
        <f t="shared" si="15"/>
        <v>0</v>
      </c>
      <c r="T66" s="39">
        <f t="shared" si="15"/>
        <v>0</v>
      </c>
      <c r="U66" s="39">
        <f t="shared" si="15"/>
        <v>0</v>
      </c>
      <c r="V66" s="39">
        <f t="shared" si="15"/>
        <v>0</v>
      </c>
      <c r="W66" s="39">
        <f t="shared" si="15"/>
        <v>0</v>
      </c>
      <c r="X66" s="39">
        <f t="shared" si="15"/>
        <v>0</v>
      </c>
      <c r="Y66" s="39">
        <f t="shared" si="15"/>
        <v>0</v>
      </c>
      <c r="Z66" s="39">
        <f t="shared" si="15"/>
        <v>0</v>
      </c>
      <c r="AA66" s="39">
        <f t="shared" si="15"/>
        <v>0</v>
      </c>
      <c r="AB66" s="39">
        <f t="shared" si="15"/>
        <v>0</v>
      </c>
      <c r="AC66" s="39">
        <f t="shared" si="15"/>
        <v>0</v>
      </c>
      <c r="AD66" s="39">
        <f t="shared" si="15"/>
        <v>0</v>
      </c>
      <c r="AE66" s="39">
        <f t="shared" si="15"/>
        <v>0</v>
      </c>
      <c r="AF66" s="39">
        <f t="shared" si="15"/>
        <v>0</v>
      </c>
      <c r="AG66" s="39">
        <f t="shared" si="15"/>
        <v>0</v>
      </c>
      <c r="AH66" s="39">
        <f t="shared" si="15"/>
        <v>0</v>
      </c>
      <c r="AI66" s="218">
        <f t="shared" si="9"/>
        <v>0</v>
      </c>
    </row>
    <row r="67">
      <c r="B67" s="16" t="s">
        <v>922</v>
      </c>
      <c r="C67" s="183" t="s">
        <v>42</v>
      </c>
      <c r="D67" s="39">
        <f t="shared" si="10"/>
        <v>0</v>
      </c>
      <c r="E67" s="39">
        <f t="shared" ref="E67:AH67" si="16">if($AJ$59&gt;=E$58,D67+E11,0)</f>
        <v>0</v>
      </c>
      <c r="F67" s="39">
        <f t="shared" si="16"/>
        <v>0</v>
      </c>
      <c r="G67" s="39">
        <f t="shared" si="16"/>
        <v>0</v>
      </c>
      <c r="H67" s="39">
        <f t="shared" si="16"/>
        <v>0</v>
      </c>
      <c r="I67" s="39">
        <f t="shared" si="16"/>
        <v>0</v>
      </c>
      <c r="J67" s="39">
        <f t="shared" si="16"/>
        <v>0</v>
      </c>
      <c r="K67" s="39">
        <f t="shared" si="16"/>
        <v>56</v>
      </c>
      <c r="L67" s="39">
        <f t="shared" si="16"/>
        <v>56</v>
      </c>
      <c r="M67" s="39">
        <f t="shared" si="16"/>
        <v>56</v>
      </c>
      <c r="N67" s="39">
        <f t="shared" si="16"/>
        <v>56</v>
      </c>
      <c r="O67" s="39">
        <f t="shared" si="16"/>
        <v>56</v>
      </c>
      <c r="P67" s="39">
        <f t="shared" si="16"/>
        <v>56</v>
      </c>
      <c r="Q67" s="39">
        <f t="shared" si="16"/>
        <v>56</v>
      </c>
      <c r="R67" s="39">
        <f t="shared" si="16"/>
        <v>56</v>
      </c>
      <c r="S67" s="39">
        <f t="shared" si="16"/>
        <v>56</v>
      </c>
      <c r="T67" s="39">
        <f t="shared" si="16"/>
        <v>56</v>
      </c>
      <c r="U67" s="39">
        <f t="shared" si="16"/>
        <v>56</v>
      </c>
      <c r="V67" s="39">
        <f t="shared" si="16"/>
        <v>56</v>
      </c>
      <c r="W67" s="39">
        <f t="shared" si="16"/>
        <v>56</v>
      </c>
      <c r="X67" s="39">
        <f t="shared" si="16"/>
        <v>56</v>
      </c>
      <c r="Y67" s="39">
        <f t="shared" si="16"/>
        <v>56</v>
      </c>
      <c r="Z67" s="39">
        <f t="shared" si="16"/>
        <v>56</v>
      </c>
      <c r="AA67" s="39">
        <f t="shared" si="16"/>
        <v>56</v>
      </c>
      <c r="AB67" s="39">
        <f t="shared" si="16"/>
        <v>56</v>
      </c>
      <c r="AC67" s="39">
        <f t="shared" si="16"/>
        <v>56</v>
      </c>
      <c r="AD67" s="39">
        <f t="shared" si="16"/>
        <v>56</v>
      </c>
      <c r="AE67" s="39">
        <f t="shared" si="16"/>
        <v>56</v>
      </c>
      <c r="AF67" s="39">
        <f t="shared" si="16"/>
        <v>56</v>
      </c>
      <c r="AG67" s="39">
        <f t="shared" si="16"/>
        <v>112</v>
      </c>
      <c r="AH67" s="39">
        <f t="shared" si="16"/>
        <v>112</v>
      </c>
      <c r="AI67" s="218">
        <f t="shared" si="9"/>
        <v>112</v>
      </c>
    </row>
    <row r="68">
      <c r="B68" s="16" t="s">
        <v>922</v>
      </c>
      <c r="C68" s="183" t="s">
        <v>924</v>
      </c>
      <c r="D68" s="39">
        <f t="shared" si="10"/>
        <v>0</v>
      </c>
      <c r="E68" s="39">
        <f t="shared" ref="E68:AH68" si="17">if($AJ$59&gt;=E$58,D68+E12,0)</f>
        <v>0</v>
      </c>
      <c r="F68" s="39">
        <f t="shared" si="17"/>
        <v>0</v>
      </c>
      <c r="G68" s="39">
        <f t="shared" si="17"/>
        <v>0</v>
      </c>
      <c r="H68" s="39">
        <f t="shared" si="17"/>
        <v>0</v>
      </c>
      <c r="I68" s="39">
        <f t="shared" si="17"/>
        <v>0</v>
      </c>
      <c r="J68" s="39">
        <f t="shared" si="17"/>
        <v>0</v>
      </c>
      <c r="K68" s="39">
        <f t="shared" si="17"/>
        <v>0</v>
      </c>
      <c r="L68" s="39">
        <f t="shared" si="17"/>
        <v>0</v>
      </c>
      <c r="M68" s="39">
        <f t="shared" si="17"/>
        <v>0</v>
      </c>
      <c r="N68" s="39">
        <f t="shared" si="17"/>
        <v>0</v>
      </c>
      <c r="O68" s="39">
        <f t="shared" si="17"/>
        <v>0</v>
      </c>
      <c r="P68" s="39">
        <f t="shared" si="17"/>
        <v>0</v>
      </c>
      <c r="Q68" s="39">
        <f t="shared" si="17"/>
        <v>0</v>
      </c>
      <c r="R68" s="39">
        <f t="shared" si="17"/>
        <v>0</v>
      </c>
      <c r="S68" s="39">
        <f t="shared" si="17"/>
        <v>0</v>
      </c>
      <c r="T68" s="39">
        <f t="shared" si="17"/>
        <v>0</v>
      </c>
      <c r="U68" s="39">
        <f t="shared" si="17"/>
        <v>0</v>
      </c>
      <c r="V68" s="39">
        <f t="shared" si="17"/>
        <v>0</v>
      </c>
      <c r="W68" s="39">
        <f t="shared" si="17"/>
        <v>0</v>
      </c>
      <c r="X68" s="39">
        <f t="shared" si="17"/>
        <v>0</v>
      </c>
      <c r="Y68" s="39">
        <f t="shared" si="17"/>
        <v>0</v>
      </c>
      <c r="Z68" s="39">
        <f t="shared" si="17"/>
        <v>0</v>
      </c>
      <c r="AA68" s="39">
        <f t="shared" si="17"/>
        <v>0</v>
      </c>
      <c r="AB68" s="39">
        <f t="shared" si="17"/>
        <v>0</v>
      </c>
      <c r="AC68" s="39">
        <f t="shared" si="17"/>
        <v>0</v>
      </c>
      <c r="AD68" s="39">
        <f t="shared" si="17"/>
        <v>0</v>
      </c>
      <c r="AE68" s="39">
        <f t="shared" si="17"/>
        <v>0</v>
      </c>
      <c r="AF68" s="39">
        <f t="shared" si="17"/>
        <v>0</v>
      </c>
      <c r="AG68" s="39">
        <f t="shared" si="17"/>
        <v>0</v>
      </c>
      <c r="AH68" s="39">
        <f t="shared" si="17"/>
        <v>0</v>
      </c>
      <c r="AI68" s="218">
        <f t="shared" si="9"/>
        <v>0</v>
      </c>
    </row>
    <row r="69">
      <c r="B69" s="16" t="s">
        <v>926</v>
      </c>
      <c r="C69" s="187" t="s">
        <v>35</v>
      </c>
      <c r="D69" s="39">
        <f t="shared" si="10"/>
        <v>0</v>
      </c>
      <c r="E69" s="39">
        <f t="shared" ref="E69:AH69" si="18">if($AJ$59&gt;=E$58,D69+E13,0)</f>
        <v>0</v>
      </c>
      <c r="F69" s="39">
        <f t="shared" si="18"/>
        <v>0</v>
      </c>
      <c r="G69" s="39">
        <f t="shared" si="18"/>
        <v>0</v>
      </c>
      <c r="H69" s="39">
        <f t="shared" si="18"/>
        <v>0</v>
      </c>
      <c r="I69" s="39">
        <f t="shared" si="18"/>
        <v>0</v>
      </c>
      <c r="J69" s="39">
        <f t="shared" si="18"/>
        <v>3</v>
      </c>
      <c r="K69" s="39">
        <f t="shared" si="18"/>
        <v>9</v>
      </c>
      <c r="L69" s="39">
        <f t="shared" si="18"/>
        <v>12</v>
      </c>
      <c r="M69" s="39">
        <f t="shared" si="18"/>
        <v>12</v>
      </c>
      <c r="N69" s="39">
        <f t="shared" si="18"/>
        <v>12</v>
      </c>
      <c r="O69" s="39">
        <f t="shared" si="18"/>
        <v>12</v>
      </c>
      <c r="P69" s="39">
        <f t="shared" si="18"/>
        <v>12</v>
      </c>
      <c r="Q69" s="39">
        <f t="shared" si="18"/>
        <v>12</v>
      </c>
      <c r="R69" s="39">
        <f t="shared" si="18"/>
        <v>12</v>
      </c>
      <c r="S69" s="39">
        <f t="shared" si="18"/>
        <v>12</v>
      </c>
      <c r="T69" s="39">
        <f t="shared" si="18"/>
        <v>12</v>
      </c>
      <c r="U69" s="39">
        <f t="shared" si="18"/>
        <v>17</v>
      </c>
      <c r="V69" s="39">
        <f t="shared" si="18"/>
        <v>17</v>
      </c>
      <c r="W69" s="39">
        <f t="shared" si="18"/>
        <v>17</v>
      </c>
      <c r="X69" s="39">
        <f t="shared" si="18"/>
        <v>17</v>
      </c>
      <c r="Y69" s="39">
        <f t="shared" si="18"/>
        <v>20</v>
      </c>
      <c r="Z69" s="39">
        <f t="shared" si="18"/>
        <v>20</v>
      </c>
      <c r="AA69" s="39">
        <f t="shared" si="18"/>
        <v>20</v>
      </c>
      <c r="AB69" s="39">
        <f t="shared" si="18"/>
        <v>20</v>
      </c>
      <c r="AC69" s="39">
        <f t="shared" si="18"/>
        <v>20</v>
      </c>
      <c r="AD69" s="39">
        <f t="shared" si="18"/>
        <v>20</v>
      </c>
      <c r="AE69" s="39">
        <f t="shared" si="18"/>
        <v>20</v>
      </c>
      <c r="AF69" s="39">
        <f t="shared" si="18"/>
        <v>20</v>
      </c>
      <c r="AG69" s="39">
        <f t="shared" si="18"/>
        <v>20</v>
      </c>
      <c r="AH69" s="39">
        <f t="shared" si="18"/>
        <v>20</v>
      </c>
      <c r="AI69" s="218">
        <f t="shared" si="9"/>
        <v>20</v>
      </c>
    </row>
    <row r="70">
      <c r="B70" s="16" t="s">
        <v>926</v>
      </c>
      <c r="C70" s="187" t="s">
        <v>927</v>
      </c>
      <c r="D70" s="39">
        <f t="shared" si="10"/>
        <v>0</v>
      </c>
      <c r="E70" s="39">
        <f t="shared" ref="E70:AH70" si="19">if($AJ$59&gt;=E$58,D70+E14,0)</f>
        <v>0</v>
      </c>
      <c r="F70" s="39">
        <f t="shared" si="19"/>
        <v>0</v>
      </c>
      <c r="G70" s="39">
        <f t="shared" si="19"/>
        <v>0</v>
      </c>
      <c r="H70" s="39">
        <f t="shared" si="19"/>
        <v>0</v>
      </c>
      <c r="I70" s="39">
        <f t="shared" si="19"/>
        <v>0</v>
      </c>
      <c r="J70" s="39">
        <f t="shared" si="19"/>
        <v>0</v>
      </c>
      <c r="K70" s="39">
        <f t="shared" si="19"/>
        <v>0</v>
      </c>
      <c r="L70" s="39">
        <f t="shared" si="19"/>
        <v>0</v>
      </c>
      <c r="M70" s="39">
        <f t="shared" si="19"/>
        <v>0</v>
      </c>
      <c r="N70" s="39">
        <f t="shared" si="19"/>
        <v>0</v>
      </c>
      <c r="O70" s="39">
        <f t="shared" si="19"/>
        <v>0</v>
      </c>
      <c r="P70" s="39">
        <f t="shared" si="19"/>
        <v>0</v>
      </c>
      <c r="Q70" s="39">
        <f t="shared" si="19"/>
        <v>0</v>
      </c>
      <c r="R70" s="39">
        <f t="shared" si="19"/>
        <v>0</v>
      </c>
      <c r="S70" s="39">
        <f t="shared" si="19"/>
        <v>0</v>
      </c>
      <c r="T70" s="39">
        <f t="shared" si="19"/>
        <v>0</v>
      </c>
      <c r="U70" s="39">
        <f t="shared" si="19"/>
        <v>0</v>
      </c>
      <c r="V70" s="39">
        <f t="shared" si="19"/>
        <v>0</v>
      </c>
      <c r="W70" s="39">
        <f t="shared" si="19"/>
        <v>0</v>
      </c>
      <c r="X70" s="39">
        <f t="shared" si="19"/>
        <v>0</v>
      </c>
      <c r="Y70" s="39">
        <f t="shared" si="19"/>
        <v>0</v>
      </c>
      <c r="Z70" s="39">
        <f t="shared" si="19"/>
        <v>0</v>
      </c>
      <c r="AA70" s="39">
        <f t="shared" si="19"/>
        <v>0</v>
      </c>
      <c r="AB70" s="39">
        <f t="shared" si="19"/>
        <v>0</v>
      </c>
      <c r="AC70" s="39">
        <f t="shared" si="19"/>
        <v>0</v>
      </c>
      <c r="AD70" s="39">
        <f t="shared" si="19"/>
        <v>0</v>
      </c>
      <c r="AE70" s="39">
        <f t="shared" si="19"/>
        <v>0</v>
      </c>
      <c r="AF70" s="39">
        <f t="shared" si="19"/>
        <v>0</v>
      </c>
      <c r="AG70" s="39">
        <f t="shared" si="19"/>
        <v>0</v>
      </c>
      <c r="AH70" s="39">
        <f t="shared" si="19"/>
        <v>0</v>
      </c>
      <c r="AI70" s="218">
        <f t="shared" si="9"/>
        <v>0</v>
      </c>
    </row>
    <row r="71">
      <c r="B71" s="16" t="s">
        <v>928</v>
      </c>
      <c r="C71" s="189" t="s">
        <v>50</v>
      </c>
      <c r="D71" s="39">
        <f t="shared" si="10"/>
        <v>0</v>
      </c>
      <c r="E71" s="39">
        <f t="shared" ref="E71:AH71" si="20">if($AJ$59&gt;=E$58,D71+E15,0)</f>
        <v>0</v>
      </c>
      <c r="F71" s="39">
        <f t="shared" si="20"/>
        <v>0</v>
      </c>
      <c r="G71" s="39">
        <f t="shared" si="20"/>
        <v>0</v>
      </c>
      <c r="H71" s="39">
        <f t="shared" si="20"/>
        <v>0</v>
      </c>
      <c r="I71" s="39">
        <f t="shared" si="20"/>
        <v>0</v>
      </c>
      <c r="J71" s="39">
        <f t="shared" si="20"/>
        <v>0</v>
      </c>
      <c r="K71" s="39">
        <f t="shared" si="20"/>
        <v>0</v>
      </c>
      <c r="L71" s="39">
        <f t="shared" si="20"/>
        <v>0</v>
      </c>
      <c r="M71" s="39">
        <f t="shared" si="20"/>
        <v>0</v>
      </c>
      <c r="N71" s="39">
        <f t="shared" si="20"/>
        <v>0</v>
      </c>
      <c r="O71" s="39">
        <f t="shared" si="20"/>
        <v>0</v>
      </c>
      <c r="P71" s="39">
        <f t="shared" si="20"/>
        <v>0</v>
      </c>
      <c r="Q71" s="39">
        <f t="shared" si="20"/>
        <v>0</v>
      </c>
      <c r="R71" s="39">
        <f t="shared" si="20"/>
        <v>46</v>
      </c>
      <c r="S71" s="39">
        <f t="shared" si="20"/>
        <v>46</v>
      </c>
      <c r="T71" s="39">
        <f t="shared" si="20"/>
        <v>46</v>
      </c>
      <c r="U71" s="39">
        <f t="shared" si="20"/>
        <v>46</v>
      </c>
      <c r="V71" s="39">
        <f t="shared" si="20"/>
        <v>46</v>
      </c>
      <c r="W71" s="39">
        <f t="shared" si="20"/>
        <v>46</v>
      </c>
      <c r="X71" s="39">
        <f t="shared" si="20"/>
        <v>46</v>
      </c>
      <c r="Y71" s="39">
        <f t="shared" si="20"/>
        <v>46</v>
      </c>
      <c r="Z71" s="39">
        <f t="shared" si="20"/>
        <v>46</v>
      </c>
      <c r="AA71" s="39">
        <f t="shared" si="20"/>
        <v>46</v>
      </c>
      <c r="AB71" s="39">
        <f t="shared" si="20"/>
        <v>46</v>
      </c>
      <c r="AC71" s="39">
        <f t="shared" si="20"/>
        <v>46</v>
      </c>
      <c r="AD71" s="39">
        <f t="shared" si="20"/>
        <v>46</v>
      </c>
      <c r="AE71" s="39">
        <f t="shared" si="20"/>
        <v>46</v>
      </c>
      <c r="AF71" s="39">
        <f t="shared" si="20"/>
        <v>46</v>
      </c>
      <c r="AG71" s="39">
        <f t="shared" si="20"/>
        <v>46</v>
      </c>
      <c r="AH71" s="39">
        <f t="shared" si="20"/>
        <v>46</v>
      </c>
      <c r="AI71" s="218">
        <f t="shared" si="9"/>
        <v>46</v>
      </c>
    </row>
    <row r="72">
      <c r="B72" s="16" t="s">
        <v>928</v>
      </c>
      <c r="C72" s="189" t="s">
        <v>929</v>
      </c>
      <c r="D72" s="39">
        <f t="shared" si="10"/>
        <v>0</v>
      </c>
      <c r="E72" s="39">
        <f t="shared" ref="E72:AH72" si="21">if($AJ$59&gt;=E$58,D72+E16,0)</f>
        <v>0</v>
      </c>
      <c r="F72" s="39">
        <f t="shared" si="21"/>
        <v>0</v>
      </c>
      <c r="G72" s="39">
        <f t="shared" si="21"/>
        <v>0</v>
      </c>
      <c r="H72" s="39">
        <f t="shared" si="21"/>
        <v>0</v>
      </c>
      <c r="I72" s="39">
        <f t="shared" si="21"/>
        <v>0</v>
      </c>
      <c r="J72" s="39">
        <f t="shared" si="21"/>
        <v>0</v>
      </c>
      <c r="K72" s="39">
        <f t="shared" si="21"/>
        <v>0</v>
      </c>
      <c r="L72" s="39">
        <f t="shared" si="21"/>
        <v>0</v>
      </c>
      <c r="M72" s="39">
        <f t="shared" si="21"/>
        <v>0</v>
      </c>
      <c r="N72" s="39">
        <f t="shared" si="21"/>
        <v>0</v>
      </c>
      <c r="O72" s="39">
        <f t="shared" si="21"/>
        <v>0</v>
      </c>
      <c r="P72" s="39">
        <f t="shared" si="21"/>
        <v>0</v>
      </c>
      <c r="Q72" s="39">
        <f t="shared" si="21"/>
        <v>0</v>
      </c>
      <c r="R72" s="39">
        <f t="shared" si="21"/>
        <v>0</v>
      </c>
      <c r="S72" s="39">
        <f t="shared" si="21"/>
        <v>0</v>
      </c>
      <c r="T72" s="39">
        <f t="shared" si="21"/>
        <v>0</v>
      </c>
      <c r="U72" s="39">
        <f t="shared" si="21"/>
        <v>0</v>
      </c>
      <c r="V72" s="39">
        <f t="shared" si="21"/>
        <v>0</v>
      </c>
      <c r="W72" s="39">
        <f t="shared" si="21"/>
        <v>0</v>
      </c>
      <c r="X72" s="39">
        <f t="shared" si="21"/>
        <v>0</v>
      </c>
      <c r="Y72" s="39">
        <f t="shared" si="21"/>
        <v>0</v>
      </c>
      <c r="Z72" s="39">
        <f t="shared" si="21"/>
        <v>0</v>
      </c>
      <c r="AA72" s="39">
        <f t="shared" si="21"/>
        <v>0</v>
      </c>
      <c r="AB72" s="39">
        <f t="shared" si="21"/>
        <v>0</v>
      </c>
      <c r="AC72" s="39">
        <f t="shared" si="21"/>
        <v>0</v>
      </c>
      <c r="AD72" s="39">
        <f t="shared" si="21"/>
        <v>0</v>
      </c>
      <c r="AE72" s="39">
        <f t="shared" si="21"/>
        <v>0</v>
      </c>
      <c r="AF72" s="39">
        <f t="shared" si="21"/>
        <v>0</v>
      </c>
      <c r="AG72" s="39">
        <f t="shared" si="21"/>
        <v>0</v>
      </c>
      <c r="AH72" s="39">
        <f t="shared" si="21"/>
        <v>0</v>
      </c>
      <c r="AI72" s="218">
        <f t="shared" si="9"/>
        <v>0</v>
      </c>
    </row>
    <row r="73">
      <c r="B73" s="16" t="s">
        <v>928</v>
      </c>
      <c r="C73" s="189" t="s">
        <v>26</v>
      </c>
      <c r="D73" s="39">
        <f t="shared" si="10"/>
        <v>0</v>
      </c>
      <c r="E73" s="39">
        <f t="shared" ref="E73:AH73" si="22">if($AJ$59&gt;=E$58,D73+E17,0)</f>
        <v>6</v>
      </c>
      <c r="F73" s="39">
        <f t="shared" si="22"/>
        <v>6</v>
      </c>
      <c r="G73" s="39">
        <f t="shared" si="22"/>
        <v>6</v>
      </c>
      <c r="H73" s="39">
        <f t="shared" si="22"/>
        <v>6</v>
      </c>
      <c r="I73" s="39">
        <f t="shared" si="22"/>
        <v>6</v>
      </c>
      <c r="J73" s="39">
        <f t="shared" si="22"/>
        <v>6</v>
      </c>
      <c r="K73" s="39">
        <f t="shared" si="22"/>
        <v>6</v>
      </c>
      <c r="L73" s="39">
        <f t="shared" si="22"/>
        <v>6</v>
      </c>
      <c r="M73" s="39">
        <f t="shared" si="22"/>
        <v>6</v>
      </c>
      <c r="N73" s="39">
        <f t="shared" si="22"/>
        <v>6</v>
      </c>
      <c r="O73" s="39">
        <f t="shared" si="22"/>
        <v>6</v>
      </c>
      <c r="P73" s="39">
        <f t="shared" si="22"/>
        <v>6</v>
      </c>
      <c r="Q73" s="39">
        <f t="shared" si="22"/>
        <v>6</v>
      </c>
      <c r="R73" s="39">
        <f t="shared" si="22"/>
        <v>22</v>
      </c>
      <c r="S73" s="39">
        <f t="shared" si="22"/>
        <v>22</v>
      </c>
      <c r="T73" s="39">
        <f t="shared" si="22"/>
        <v>22</v>
      </c>
      <c r="U73" s="39">
        <f t="shared" si="22"/>
        <v>22</v>
      </c>
      <c r="V73" s="39">
        <f t="shared" si="22"/>
        <v>22</v>
      </c>
      <c r="W73" s="39">
        <f t="shared" si="22"/>
        <v>22</v>
      </c>
      <c r="X73" s="39">
        <f t="shared" si="22"/>
        <v>22</v>
      </c>
      <c r="Y73" s="39">
        <f t="shared" si="22"/>
        <v>22</v>
      </c>
      <c r="Z73" s="39">
        <f t="shared" si="22"/>
        <v>22</v>
      </c>
      <c r="AA73" s="39">
        <f t="shared" si="22"/>
        <v>22</v>
      </c>
      <c r="AB73" s="39">
        <f t="shared" si="22"/>
        <v>22</v>
      </c>
      <c r="AC73" s="39">
        <f t="shared" si="22"/>
        <v>22</v>
      </c>
      <c r="AD73" s="39">
        <f t="shared" si="22"/>
        <v>22</v>
      </c>
      <c r="AE73" s="39">
        <f t="shared" si="22"/>
        <v>22</v>
      </c>
      <c r="AF73" s="39">
        <f t="shared" si="22"/>
        <v>22</v>
      </c>
      <c r="AG73" s="39">
        <f t="shared" si="22"/>
        <v>22</v>
      </c>
      <c r="AH73" s="39">
        <f t="shared" si="22"/>
        <v>22</v>
      </c>
      <c r="AI73" s="218">
        <f t="shared" si="9"/>
        <v>22</v>
      </c>
    </row>
    <row r="74">
      <c r="B74" s="16" t="s">
        <v>928</v>
      </c>
      <c r="C74" s="189" t="s">
        <v>92</v>
      </c>
      <c r="D74" s="216">
        <f t="shared" ref="D74:AH74" si="23">if($AJ$59&gt;=D$58,D18,0)*0</f>
        <v>0</v>
      </c>
      <c r="E74" s="216">
        <f t="shared" si="23"/>
        <v>0</v>
      </c>
      <c r="F74" s="216">
        <f t="shared" si="23"/>
        <v>0</v>
      </c>
      <c r="G74" s="216">
        <f t="shared" si="23"/>
        <v>0</v>
      </c>
      <c r="H74" s="216">
        <f t="shared" si="23"/>
        <v>0</v>
      </c>
      <c r="I74" s="216">
        <f t="shared" si="23"/>
        <v>0</v>
      </c>
      <c r="J74" s="216">
        <f t="shared" si="23"/>
        <v>0</v>
      </c>
      <c r="K74" s="216">
        <f t="shared" si="23"/>
        <v>0</v>
      </c>
      <c r="L74" s="216">
        <f t="shared" si="23"/>
        <v>0</v>
      </c>
      <c r="M74" s="216">
        <f t="shared" si="23"/>
        <v>0</v>
      </c>
      <c r="N74" s="216">
        <f t="shared" si="23"/>
        <v>0</v>
      </c>
      <c r="O74" s="216">
        <f t="shared" si="23"/>
        <v>0</v>
      </c>
      <c r="P74" s="216">
        <f t="shared" si="23"/>
        <v>0</v>
      </c>
      <c r="Q74" s="216">
        <f t="shared" si="23"/>
        <v>0</v>
      </c>
      <c r="R74" s="216">
        <f t="shared" si="23"/>
        <v>0</v>
      </c>
      <c r="S74" s="216">
        <f t="shared" si="23"/>
        <v>0</v>
      </c>
      <c r="T74" s="216">
        <f t="shared" si="23"/>
        <v>0</v>
      </c>
      <c r="U74" s="216">
        <f t="shared" si="23"/>
        <v>0</v>
      </c>
      <c r="V74" s="216">
        <f t="shared" si="23"/>
        <v>0</v>
      </c>
      <c r="W74" s="216">
        <f t="shared" si="23"/>
        <v>0</v>
      </c>
      <c r="X74" s="216">
        <f t="shared" si="23"/>
        <v>0</v>
      </c>
      <c r="Y74" s="216">
        <f t="shared" si="23"/>
        <v>0</v>
      </c>
      <c r="Z74" s="216">
        <f t="shared" si="23"/>
        <v>0</v>
      </c>
      <c r="AA74" s="216">
        <f t="shared" si="23"/>
        <v>0</v>
      </c>
      <c r="AB74" s="216">
        <f t="shared" si="23"/>
        <v>0</v>
      </c>
      <c r="AC74" s="216">
        <f t="shared" si="23"/>
        <v>0</v>
      </c>
      <c r="AD74" s="216">
        <f t="shared" si="23"/>
        <v>0</v>
      </c>
      <c r="AE74" s="216">
        <f t="shared" si="23"/>
        <v>0</v>
      </c>
      <c r="AF74" s="216">
        <f t="shared" si="23"/>
        <v>0</v>
      </c>
      <c r="AG74" s="216">
        <f t="shared" si="23"/>
        <v>0</v>
      </c>
      <c r="AH74" s="216">
        <f t="shared" si="23"/>
        <v>0</v>
      </c>
      <c r="AI74" s="222">
        <f t="shared" si="9"/>
        <v>0</v>
      </c>
    </row>
    <row r="75">
      <c r="B75" s="16" t="s">
        <v>928</v>
      </c>
      <c r="C75" s="189" t="s">
        <v>93</v>
      </c>
      <c r="D75" s="216">
        <f t="shared" ref="D75:AH75" si="24">if($AJ$59&gt;=D$58,D19,0)*0</f>
        <v>0</v>
      </c>
      <c r="E75" s="216">
        <f t="shared" si="24"/>
        <v>0</v>
      </c>
      <c r="F75" s="216">
        <f t="shared" si="24"/>
        <v>0</v>
      </c>
      <c r="G75" s="216">
        <f t="shared" si="24"/>
        <v>0</v>
      </c>
      <c r="H75" s="216">
        <f t="shared" si="24"/>
        <v>0</v>
      </c>
      <c r="I75" s="216">
        <f t="shared" si="24"/>
        <v>0</v>
      </c>
      <c r="J75" s="216">
        <f t="shared" si="24"/>
        <v>0</v>
      </c>
      <c r="K75" s="216">
        <f t="shared" si="24"/>
        <v>0</v>
      </c>
      <c r="L75" s="216">
        <f t="shared" si="24"/>
        <v>0</v>
      </c>
      <c r="M75" s="216">
        <f t="shared" si="24"/>
        <v>0</v>
      </c>
      <c r="N75" s="216">
        <f t="shared" si="24"/>
        <v>0</v>
      </c>
      <c r="O75" s="216">
        <f t="shared" si="24"/>
        <v>0</v>
      </c>
      <c r="P75" s="216">
        <f t="shared" si="24"/>
        <v>0</v>
      </c>
      <c r="Q75" s="216">
        <f t="shared" si="24"/>
        <v>0</v>
      </c>
      <c r="R75" s="216">
        <f t="shared" si="24"/>
        <v>0</v>
      </c>
      <c r="S75" s="216">
        <f t="shared" si="24"/>
        <v>0</v>
      </c>
      <c r="T75" s="216">
        <f t="shared" si="24"/>
        <v>0</v>
      </c>
      <c r="U75" s="216">
        <f t="shared" si="24"/>
        <v>0</v>
      </c>
      <c r="V75" s="216">
        <f t="shared" si="24"/>
        <v>0</v>
      </c>
      <c r="W75" s="216">
        <f t="shared" si="24"/>
        <v>0</v>
      </c>
      <c r="X75" s="216">
        <f t="shared" si="24"/>
        <v>0</v>
      </c>
      <c r="Y75" s="216">
        <f t="shared" si="24"/>
        <v>0</v>
      </c>
      <c r="Z75" s="216">
        <f t="shared" si="24"/>
        <v>0</v>
      </c>
      <c r="AA75" s="216">
        <f t="shared" si="24"/>
        <v>0</v>
      </c>
      <c r="AB75" s="216">
        <f t="shared" si="24"/>
        <v>0</v>
      </c>
      <c r="AC75" s="216">
        <f t="shared" si="24"/>
        <v>0</v>
      </c>
      <c r="AD75" s="216">
        <f t="shared" si="24"/>
        <v>0</v>
      </c>
      <c r="AE75" s="216">
        <f t="shared" si="24"/>
        <v>0</v>
      </c>
      <c r="AF75" s="216">
        <f t="shared" si="24"/>
        <v>0</v>
      </c>
      <c r="AG75" s="216">
        <f t="shared" si="24"/>
        <v>0</v>
      </c>
      <c r="AH75" s="216">
        <f t="shared" si="24"/>
        <v>0</v>
      </c>
      <c r="AI75" s="222">
        <f t="shared" si="9"/>
        <v>0</v>
      </c>
    </row>
    <row r="76">
      <c r="B76" s="16" t="s">
        <v>928</v>
      </c>
      <c r="C76" s="189" t="s">
        <v>60</v>
      </c>
      <c r="D76" s="39">
        <f t="shared" ref="D76:D83" si="26">if($AJ$59&gt;=D$58,D20,0)</f>
        <v>0</v>
      </c>
      <c r="E76" s="39">
        <f t="shared" ref="E76:AH76" si="25">if($AJ$59&gt;=E$58,D76+E20,0)</f>
        <v>0</v>
      </c>
      <c r="F76" s="39">
        <f t="shared" si="25"/>
        <v>0</v>
      </c>
      <c r="G76" s="39">
        <f t="shared" si="25"/>
        <v>0</v>
      </c>
      <c r="H76" s="39">
        <f t="shared" si="25"/>
        <v>0</v>
      </c>
      <c r="I76" s="39">
        <f t="shared" si="25"/>
        <v>0</v>
      </c>
      <c r="J76" s="39">
        <f t="shared" si="25"/>
        <v>0</v>
      </c>
      <c r="K76" s="39">
        <f t="shared" si="25"/>
        <v>0</v>
      </c>
      <c r="L76" s="39">
        <f t="shared" si="25"/>
        <v>0</v>
      </c>
      <c r="M76" s="39">
        <f t="shared" si="25"/>
        <v>0</v>
      </c>
      <c r="N76" s="39">
        <f t="shared" si="25"/>
        <v>0</v>
      </c>
      <c r="O76" s="39">
        <f t="shared" si="25"/>
        <v>0</v>
      </c>
      <c r="P76" s="39">
        <f t="shared" si="25"/>
        <v>0</v>
      </c>
      <c r="Q76" s="39">
        <f t="shared" si="25"/>
        <v>0</v>
      </c>
      <c r="R76" s="39">
        <f t="shared" si="25"/>
        <v>0</v>
      </c>
      <c r="S76" s="39">
        <f t="shared" si="25"/>
        <v>0</v>
      </c>
      <c r="T76" s="39">
        <f t="shared" si="25"/>
        <v>0</v>
      </c>
      <c r="U76" s="39">
        <f t="shared" si="25"/>
        <v>21</v>
      </c>
      <c r="V76" s="39">
        <f t="shared" si="25"/>
        <v>21</v>
      </c>
      <c r="W76" s="39">
        <f t="shared" si="25"/>
        <v>21</v>
      </c>
      <c r="X76" s="39">
        <f t="shared" si="25"/>
        <v>21</v>
      </c>
      <c r="Y76" s="39">
        <f t="shared" si="25"/>
        <v>21</v>
      </c>
      <c r="Z76" s="39">
        <f t="shared" si="25"/>
        <v>21</v>
      </c>
      <c r="AA76" s="39">
        <f t="shared" si="25"/>
        <v>21</v>
      </c>
      <c r="AB76" s="39">
        <f t="shared" si="25"/>
        <v>42</v>
      </c>
      <c r="AC76" s="39">
        <f t="shared" si="25"/>
        <v>42</v>
      </c>
      <c r="AD76" s="39">
        <f t="shared" si="25"/>
        <v>42</v>
      </c>
      <c r="AE76" s="39">
        <f t="shared" si="25"/>
        <v>42</v>
      </c>
      <c r="AF76" s="39">
        <f t="shared" si="25"/>
        <v>42</v>
      </c>
      <c r="AG76" s="39">
        <f t="shared" si="25"/>
        <v>42</v>
      </c>
      <c r="AH76" s="39">
        <f t="shared" si="25"/>
        <v>42</v>
      </c>
      <c r="AI76" s="218">
        <f t="shared" si="9"/>
        <v>42</v>
      </c>
    </row>
    <row r="77">
      <c r="B77" s="16" t="s">
        <v>931</v>
      </c>
      <c r="C77" s="195" t="s">
        <v>44</v>
      </c>
      <c r="D77" s="39">
        <f t="shared" si="26"/>
        <v>0</v>
      </c>
      <c r="E77" s="39">
        <f t="shared" ref="E77:AH77" si="27">if($AJ$59&gt;=E$58,D77+E21,0)</f>
        <v>0</v>
      </c>
      <c r="F77" s="39">
        <f t="shared" si="27"/>
        <v>0</v>
      </c>
      <c r="G77" s="39">
        <f t="shared" si="27"/>
        <v>0</v>
      </c>
      <c r="H77" s="39">
        <f t="shared" si="27"/>
        <v>0</v>
      </c>
      <c r="I77" s="39">
        <f t="shared" si="27"/>
        <v>0</v>
      </c>
      <c r="J77" s="39">
        <f t="shared" si="27"/>
        <v>0</v>
      </c>
      <c r="K77" s="39">
        <f t="shared" si="27"/>
        <v>0</v>
      </c>
      <c r="L77" s="39">
        <f t="shared" si="27"/>
        <v>0</v>
      </c>
      <c r="M77" s="39">
        <f t="shared" si="27"/>
        <v>52</v>
      </c>
      <c r="N77" s="39">
        <f t="shared" si="27"/>
        <v>52</v>
      </c>
      <c r="O77" s="39">
        <f t="shared" si="27"/>
        <v>52</v>
      </c>
      <c r="P77" s="39">
        <f t="shared" si="27"/>
        <v>52</v>
      </c>
      <c r="Q77" s="39">
        <f t="shared" si="27"/>
        <v>52</v>
      </c>
      <c r="R77" s="39">
        <f t="shared" si="27"/>
        <v>52</v>
      </c>
      <c r="S77" s="39">
        <f t="shared" si="27"/>
        <v>52</v>
      </c>
      <c r="T77" s="39">
        <f t="shared" si="27"/>
        <v>52</v>
      </c>
      <c r="U77" s="39">
        <f t="shared" si="27"/>
        <v>99</v>
      </c>
      <c r="V77" s="39">
        <f t="shared" si="27"/>
        <v>99</v>
      </c>
      <c r="W77" s="39">
        <f t="shared" si="27"/>
        <v>99</v>
      </c>
      <c r="X77" s="39">
        <f t="shared" si="27"/>
        <v>99</v>
      </c>
      <c r="Y77" s="39">
        <f t="shared" si="27"/>
        <v>99</v>
      </c>
      <c r="Z77" s="39">
        <f t="shared" si="27"/>
        <v>99</v>
      </c>
      <c r="AA77" s="39">
        <f t="shared" si="27"/>
        <v>99</v>
      </c>
      <c r="AB77" s="39">
        <f t="shared" si="27"/>
        <v>152</v>
      </c>
      <c r="AC77" s="39">
        <f t="shared" si="27"/>
        <v>152</v>
      </c>
      <c r="AD77" s="39">
        <f t="shared" si="27"/>
        <v>152</v>
      </c>
      <c r="AE77" s="39">
        <f t="shared" si="27"/>
        <v>152</v>
      </c>
      <c r="AF77" s="39">
        <f t="shared" si="27"/>
        <v>152</v>
      </c>
      <c r="AG77" s="39">
        <f t="shared" si="27"/>
        <v>152</v>
      </c>
      <c r="AH77" s="39">
        <f t="shared" si="27"/>
        <v>202</v>
      </c>
      <c r="AI77" s="218">
        <f t="shared" si="9"/>
        <v>202</v>
      </c>
    </row>
    <row r="78">
      <c r="B78" s="16" t="s">
        <v>931</v>
      </c>
      <c r="C78" s="195" t="s">
        <v>49</v>
      </c>
      <c r="D78" s="39">
        <f t="shared" si="26"/>
        <v>0</v>
      </c>
      <c r="E78" s="39">
        <f t="shared" ref="E78:AH78" si="28">if($AJ$59&gt;=E$58,D78+E22,0)</f>
        <v>0</v>
      </c>
      <c r="F78" s="39">
        <f t="shared" si="28"/>
        <v>0</v>
      </c>
      <c r="G78" s="39">
        <f t="shared" si="28"/>
        <v>0</v>
      </c>
      <c r="H78" s="39">
        <f t="shared" si="28"/>
        <v>0</v>
      </c>
      <c r="I78" s="39">
        <f t="shared" si="28"/>
        <v>0</v>
      </c>
      <c r="J78" s="39">
        <f t="shared" si="28"/>
        <v>0</v>
      </c>
      <c r="K78" s="39">
        <f t="shared" si="28"/>
        <v>0</v>
      </c>
      <c r="L78" s="39">
        <f t="shared" si="28"/>
        <v>0</v>
      </c>
      <c r="M78" s="39">
        <f t="shared" si="28"/>
        <v>0</v>
      </c>
      <c r="N78" s="39">
        <f t="shared" si="28"/>
        <v>0</v>
      </c>
      <c r="O78" s="39">
        <f t="shared" si="28"/>
        <v>0</v>
      </c>
      <c r="P78" s="39">
        <f t="shared" si="28"/>
        <v>0</v>
      </c>
      <c r="Q78" s="39">
        <f t="shared" si="28"/>
        <v>3</v>
      </c>
      <c r="R78" s="39">
        <f t="shared" si="28"/>
        <v>3</v>
      </c>
      <c r="S78" s="39">
        <f t="shared" si="28"/>
        <v>3</v>
      </c>
      <c r="T78" s="39">
        <f t="shared" si="28"/>
        <v>3</v>
      </c>
      <c r="U78" s="39">
        <f t="shared" si="28"/>
        <v>3</v>
      </c>
      <c r="V78" s="39">
        <f t="shared" si="28"/>
        <v>3</v>
      </c>
      <c r="W78" s="39">
        <f t="shared" si="28"/>
        <v>3</v>
      </c>
      <c r="X78" s="39">
        <f t="shared" si="28"/>
        <v>6</v>
      </c>
      <c r="Y78" s="39">
        <f t="shared" si="28"/>
        <v>6</v>
      </c>
      <c r="Z78" s="39">
        <f t="shared" si="28"/>
        <v>6</v>
      </c>
      <c r="AA78" s="39">
        <f t="shared" si="28"/>
        <v>6</v>
      </c>
      <c r="AB78" s="39">
        <f t="shared" si="28"/>
        <v>6</v>
      </c>
      <c r="AC78" s="39">
        <f t="shared" si="28"/>
        <v>6</v>
      </c>
      <c r="AD78" s="39">
        <f t="shared" si="28"/>
        <v>6</v>
      </c>
      <c r="AE78" s="39">
        <f t="shared" si="28"/>
        <v>89</v>
      </c>
      <c r="AF78" s="39">
        <f t="shared" si="28"/>
        <v>89</v>
      </c>
      <c r="AG78" s="39">
        <f t="shared" si="28"/>
        <v>89</v>
      </c>
      <c r="AH78" s="39">
        <f t="shared" si="28"/>
        <v>89</v>
      </c>
      <c r="AI78" s="218">
        <f t="shared" si="9"/>
        <v>89</v>
      </c>
    </row>
    <row r="79">
      <c r="B79" s="16" t="s">
        <v>931</v>
      </c>
      <c r="C79" s="22" t="s">
        <v>933</v>
      </c>
      <c r="D79" s="39">
        <f t="shared" si="26"/>
        <v>0</v>
      </c>
      <c r="E79" s="39">
        <f t="shared" ref="E79:AH79" si="29">if($AJ$59&gt;=E$58,D79+E23,0)</f>
        <v>0</v>
      </c>
      <c r="F79" s="39">
        <f t="shared" si="29"/>
        <v>0</v>
      </c>
      <c r="G79" s="39">
        <f t="shared" si="29"/>
        <v>0</v>
      </c>
      <c r="H79" s="39">
        <f t="shared" si="29"/>
        <v>0</v>
      </c>
      <c r="I79" s="39">
        <f t="shared" si="29"/>
        <v>0</v>
      </c>
      <c r="J79" s="39">
        <f t="shared" si="29"/>
        <v>0</v>
      </c>
      <c r="K79" s="39">
        <f t="shared" si="29"/>
        <v>0</v>
      </c>
      <c r="L79" s="39">
        <f t="shared" si="29"/>
        <v>0</v>
      </c>
      <c r="M79" s="39">
        <f t="shared" si="29"/>
        <v>0</v>
      </c>
      <c r="N79" s="39">
        <f t="shared" si="29"/>
        <v>0</v>
      </c>
      <c r="O79" s="39">
        <f t="shared" si="29"/>
        <v>0</v>
      </c>
      <c r="P79" s="39">
        <f t="shared" si="29"/>
        <v>0</v>
      </c>
      <c r="Q79" s="39">
        <f t="shared" si="29"/>
        <v>0</v>
      </c>
      <c r="R79" s="39">
        <f t="shared" si="29"/>
        <v>0</v>
      </c>
      <c r="S79" s="39">
        <f t="shared" si="29"/>
        <v>0</v>
      </c>
      <c r="T79" s="39">
        <f t="shared" si="29"/>
        <v>0</v>
      </c>
      <c r="U79" s="39">
        <f t="shared" si="29"/>
        <v>0</v>
      </c>
      <c r="V79" s="39">
        <f t="shared" si="29"/>
        <v>0</v>
      </c>
      <c r="W79" s="39">
        <f t="shared" si="29"/>
        <v>0</v>
      </c>
      <c r="X79" s="39">
        <f t="shared" si="29"/>
        <v>0</v>
      </c>
      <c r="Y79" s="39">
        <f t="shared" si="29"/>
        <v>0</v>
      </c>
      <c r="Z79" s="39">
        <f t="shared" si="29"/>
        <v>0</v>
      </c>
      <c r="AA79" s="39">
        <f t="shared" si="29"/>
        <v>0</v>
      </c>
      <c r="AB79" s="39">
        <f t="shared" si="29"/>
        <v>0</v>
      </c>
      <c r="AC79" s="39">
        <f t="shared" si="29"/>
        <v>0</v>
      </c>
      <c r="AD79" s="39">
        <f t="shared" si="29"/>
        <v>0</v>
      </c>
      <c r="AE79" s="39">
        <f t="shared" si="29"/>
        <v>0</v>
      </c>
      <c r="AF79" s="39">
        <f t="shared" si="29"/>
        <v>0</v>
      </c>
      <c r="AG79" s="39">
        <f t="shared" si="29"/>
        <v>0</v>
      </c>
      <c r="AH79" s="39">
        <f t="shared" si="29"/>
        <v>0</v>
      </c>
      <c r="AI79" s="218">
        <f t="shared" si="9"/>
        <v>0</v>
      </c>
    </row>
    <row r="80">
      <c r="B80" s="16" t="s">
        <v>934</v>
      </c>
      <c r="C80" s="78" t="s">
        <v>9</v>
      </c>
      <c r="D80" s="39">
        <f t="shared" si="26"/>
        <v>131</v>
      </c>
      <c r="E80" s="39">
        <f t="shared" ref="E80:AH80" si="30">if($AJ$59&gt;=E$58,D80+E24,0)</f>
        <v>331.67</v>
      </c>
      <c r="F80" s="39">
        <f t="shared" si="30"/>
        <v>331.67</v>
      </c>
      <c r="G80" s="39">
        <f t="shared" si="30"/>
        <v>331.67</v>
      </c>
      <c r="H80" s="39">
        <f t="shared" si="30"/>
        <v>331.67</v>
      </c>
      <c r="I80" s="39">
        <f t="shared" si="30"/>
        <v>331.67</v>
      </c>
      <c r="J80" s="39">
        <f t="shared" si="30"/>
        <v>331.67</v>
      </c>
      <c r="K80" s="39">
        <f t="shared" si="30"/>
        <v>331.67</v>
      </c>
      <c r="L80" s="39">
        <f t="shared" si="30"/>
        <v>331.67</v>
      </c>
      <c r="M80" s="39">
        <f t="shared" si="30"/>
        <v>331.67</v>
      </c>
      <c r="N80" s="39">
        <f t="shared" si="30"/>
        <v>331.67</v>
      </c>
      <c r="O80" s="39">
        <f t="shared" si="30"/>
        <v>331.67</v>
      </c>
      <c r="P80" s="39">
        <f t="shared" si="30"/>
        <v>331.67</v>
      </c>
      <c r="Q80" s="39">
        <f t="shared" si="30"/>
        <v>331.67</v>
      </c>
      <c r="R80" s="39">
        <f t="shared" si="30"/>
        <v>331.67</v>
      </c>
      <c r="S80" s="39">
        <f t="shared" si="30"/>
        <v>331.67</v>
      </c>
      <c r="T80" s="39">
        <f t="shared" si="30"/>
        <v>348.67</v>
      </c>
      <c r="U80" s="39">
        <f t="shared" si="30"/>
        <v>348.67</v>
      </c>
      <c r="V80" s="39">
        <f t="shared" si="30"/>
        <v>348.67</v>
      </c>
      <c r="W80" s="39">
        <f t="shared" si="30"/>
        <v>348.67</v>
      </c>
      <c r="X80" s="39">
        <f t="shared" si="30"/>
        <v>348.67</v>
      </c>
      <c r="Y80" s="39">
        <f t="shared" si="30"/>
        <v>348.67</v>
      </c>
      <c r="Z80" s="39">
        <f t="shared" si="30"/>
        <v>348.67</v>
      </c>
      <c r="AA80" s="39">
        <f t="shared" si="30"/>
        <v>348.67</v>
      </c>
      <c r="AB80" s="39">
        <f t="shared" si="30"/>
        <v>348.67</v>
      </c>
      <c r="AC80" s="39">
        <f t="shared" si="30"/>
        <v>348.67</v>
      </c>
      <c r="AD80" s="39">
        <f t="shared" si="30"/>
        <v>381.67</v>
      </c>
      <c r="AE80" s="39">
        <f t="shared" si="30"/>
        <v>381.67</v>
      </c>
      <c r="AF80" s="39">
        <f t="shared" si="30"/>
        <v>381.67</v>
      </c>
      <c r="AG80" s="39">
        <f t="shared" si="30"/>
        <v>388.67</v>
      </c>
      <c r="AH80" s="39">
        <f t="shared" si="30"/>
        <v>388.67</v>
      </c>
      <c r="AI80" s="218">
        <f t="shared" si="9"/>
        <v>388.67</v>
      </c>
    </row>
    <row r="81">
      <c r="B81" s="16" t="s">
        <v>934</v>
      </c>
      <c r="C81" s="16" t="s">
        <v>936</v>
      </c>
      <c r="D81" s="39">
        <f t="shared" si="26"/>
        <v>0</v>
      </c>
      <c r="E81" s="39">
        <f t="shared" ref="E81:AH81" si="31">if($AJ$59&gt;=E$58,D81+E25,0)</f>
        <v>0</v>
      </c>
      <c r="F81" s="39">
        <f t="shared" si="31"/>
        <v>0</v>
      </c>
      <c r="G81" s="39">
        <f t="shared" si="31"/>
        <v>0</v>
      </c>
      <c r="H81" s="39">
        <f t="shared" si="31"/>
        <v>0</v>
      </c>
      <c r="I81" s="39">
        <f t="shared" si="31"/>
        <v>0</v>
      </c>
      <c r="J81" s="39">
        <f t="shared" si="31"/>
        <v>0</v>
      </c>
      <c r="K81" s="39">
        <f t="shared" si="31"/>
        <v>0</v>
      </c>
      <c r="L81" s="39">
        <f t="shared" si="31"/>
        <v>0</v>
      </c>
      <c r="M81" s="39">
        <f t="shared" si="31"/>
        <v>0</v>
      </c>
      <c r="N81" s="39">
        <f t="shared" si="31"/>
        <v>0</v>
      </c>
      <c r="O81" s="39">
        <f t="shared" si="31"/>
        <v>0</v>
      </c>
      <c r="P81" s="39">
        <f t="shared" si="31"/>
        <v>0</v>
      </c>
      <c r="Q81" s="39">
        <f t="shared" si="31"/>
        <v>0</v>
      </c>
      <c r="R81" s="39">
        <f t="shared" si="31"/>
        <v>0</v>
      </c>
      <c r="S81" s="39">
        <f t="shared" si="31"/>
        <v>0</v>
      </c>
      <c r="T81" s="39">
        <f t="shared" si="31"/>
        <v>0</v>
      </c>
      <c r="U81" s="39">
        <f t="shared" si="31"/>
        <v>0</v>
      </c>
      <c r="V81" s="39">
        <f t="shared" si="31"/>
        <v>0</v>
      </c>
      <c r="W81" s="39">
        <f t="shared" si="31"/>
        <v>0</v>
      </c>
      <c r="X81" s="39">
        <f t="shared" si="31"/>
        <v>0</v>
      </c>
      <c r="Y81" s="39">
        <f t="shared" si="31"/>
        <v>0</v>
      </c>
      <c r="Z81" s="39">
        <f t="shared" si="31"/>
        <v>0</v>
      </c>
      <c r="AA81" s="39">
        <f t="shared" si="31"/>
        <v>0</v>
      </c>
      <c r="AB81" s="39">
        <f t="shared" si="31"/>
        <v>0</v>
      </c>
      <c r="AC81" s="39">
        <f t="shared" si="31"/>
        <v>0</v>
      </c>
      <c r="AD81" s="39">
        <f t="shared" si="31"/>
        <v>0</v>
      </c>
      <c r="AE81" s="39">
        <f t="shared" si="31"/>
        <v>0</v>
      </c>
      <c r="AF81" s="39">
        <f t="shared" si="31"/>
        <v>0</v>
      </c>
      <c r="AG81" s="39">
        <f t="shared" si="31"/>
        <v>0</v>
      </c>
      <c r="AH81" s="39">
        <f t="shared" si="31"/>
        <v>0</v>
      </c>
      <c r="AI81" s="218">
        <f t="shared" si="9"/>
        <v>0</v>
      </c>
    </row>
    <row r="82">
      <c r="B82" s="16" t="s">
        <v>934</v>
      </c>
      <c r="C82" s="16" t="s">
        <v>16</v>
      </c>
      <c r="D82" s="39">
        <f t="shared" si="26"/>
        <v>0</v>
      </c>
      <c r="E82" s="39">
        <f t="shared" ref="E82:AH82" si="32">if($AJ$59&gt;=E$58,D82+E26,0)</f>
        <v>178</v>
      </c>
      <c r="F82" s="39">
        <f t="shared" si="32"/>
        <v>178</v>
      </c>
      <c r="G82" s="39">
        <f t="shared" si="32"/>
        <v>178</v>
      </c>
      <c r="H82" s="39">
        <f t="shared" si="32"/>
        <v>178</v>
      </c>
      <c r="I82" s="39">
        <f t="shared" si="32"/>
        <v>178</v>
      </c>
      <c r="J82" s="39">
        <f t="shared" si="32"/>
        <v>178</v>
      </c>
      <c r="K82" s="39">
        <f t="shared" si="32"/>
        <v>178</v>
      </c>
      <c r="L82" s="39">
        <f t="shared" si="32"/>
        <v>178</v>
      </c>
      <c r="M82" s="39">
        <f t="shared" si="32"/>
        <v>178</v>
      </c>
      <c r="N82" s="39">
        <f t="shared" si="32"/>
        <v>178</v>
      </c>
      <c r="O82" s="39">
        <f t="shared" si="32"/>
        <v>178</v>
      </c>
      <c r="P82" s="39">
        <f t="shared" si="32"/>
        <v>178</v>
      </c>
      <c r="Q82" s="39">
        <f t="shared" si="32"/>
        <v>178</v>
      </c>
      <c r="R82" s="39">
        <f t="shared" si="32"/>
        <v>178</v>
      </c>
      <c r="S82" s="39">
        <f t="shared" si="32"/>
        <v>178</v>
      </c>
      <c r="T82" s="39">
        <f t="shared" si="32"/>
        <v>178</v>
      </c>
      <c r="U82" s="39">
        <f t="shared" si="32"/>
        <v>178</v>
      </c>
      <c r="V82" s="39">
        <f t="shared" si="32"/>
        <v>178</v>
      </c>
      <c r="W82" s="39">
        <f t="shared" si="32"/>
        <v>178</v>
      </c>
      <c r="X82" s="39">
        <f t="shared" si="32"/>
        <v>178</v>
      </c>
      <c r="Y82" s="39">
        <f t="shared" si="32"/>
        <v>178</v>
      </c>
      <c r="Z82" s="39">
        <f t="shared" si="32"/>
        <v>178</v>
      </c>
      <c r="AA82" s="39">
        <f t="shared" si="32"/>
        <v>178</v>
      </c>
      <c r="AB82" s="39">
        <f t="shared" si="32"/>
        <v>178</v>
      </c>
      <c r="AC82" s="39">
        <f t="shared" si="32"/>
        <v>178</v>
      </c>
      <c r="AD82" s="39">
        <f t="shared" si="32"/>
        <v>178</v>
      </c>
      <c r="AE82" s="39">
        <f t="shared" si="32"/>
        <v>178</v>
      </c>
      <c r="AF82" s="39">
        <f t="shared" si="32"/>
        <v>178</v>
      </c>
      <c r="AG82" s="39">
        <f t="shared" si="32"/>
        <v>178</v>
      </c>
      <c r="AH82" s="39">
        <f t="shared" si="32"/>
        <v>178</v>
      </c>
      <c r="AI82" s="218">
        <f t="shared" si="9"/>
        <v>178</v>
      </c>
    </row>
    <row r="83">
      <c r="B83" s="16" t="s">
        <v>934</v>
      </c>
      <c r="C83" s="16" t="s">
        <v>18</v>
      </c>
      <c r="D83" s="39">
        <f t="shared" si="26"/>
        <v>0</v>
      </c>
      <c r="E83" s="39">
        <f t="shared" ref="E83:AH83" si="33">if($AJ$59&gt;=E$58,D83+E27,0)</f>
        <v>50</v>
      </c>
      <c r="F83" s="39">
        <f t="shared" si="33"/>
        <v>50</v>
      </c>
      <c r="G83" s="39">
        <f t="shared" si="33"/>
        <v>50</v>
      </c>
      <c r="H83" s="39">
        <f t="shared" si="33"/>
        <v>50</v>
      </c>
      <c r="I83" s="39">
        <f t="shared" si="33"/>
        <v>50</v>
      </c>
      <c r="J83" s="39">
        <f t="shared" si="33"/>
        <v>50</v>
      </c>
      <c r="K83" s="39">
        <f t="shared" si="33"/>
        <v>50</v>
      </c>
      <c r="L83" s="39">
        <f t="shared" si="33"/>
        <v>50</v>
      </c>
      <c r="M83" s="39">
        <f t="shared" si="33"/>
        <v>50</v>
      </c>
      <c r="N83" s="39">
        <f t="shared" si="33"/>
        <v>50</v>
      </c>
      <c r="O83" s="39">
        <f t="shared" si="33"/>
        <v>50</v>
      </c>
      <c r="P83" s="39">
        <f t="shared" si="33"/>
        <v>50</v>
      </c>
      <c r="Q83" s="39">
        <f t="shared" si="33"/>
        <v>50</v>
      </c>
      <c r="R83" s="39">
        <f t="shared" si="33"/>
        <v>50</v>
      </c>
      <c r="S83" s="39">
        <f t="shared" si="33"/>
        <v>50</v>
      </c>
      <c r="T83" s="39">
        <f t="shared" si="33"/>
        <v>50</v>
      </c>
      <c r="U83" s="39">
        <f t="shared" si="33"/>
        <v>50</v>
      </c>
      <c r="V83" s="39">
        <f t="shared" si="33"/>
        <v>50</v>
      </c>
      <c r="W83" s="39">
        <f t="shared" si="33"/>
        <v>50</v>
      </c>
      <c r="X83" s="39">
        <f t="shared" si="33"/>
        <v>50</v>
      </c>
      <c r="Y83" s="39">
        <f t="shared" si="33"/>
        <v>88</v>
      </c>
      <c r="Z83" s="39">
        <f t="shared" si="33"/>
        <v>88</v>
      </c>
      <c r="AA83" s="39">
        <f t="shared" si="33"/>
        <v>91</v>
      </c>
      <c r="AB83" s="39">
        <f t="shared" si="33"/>
        <v>91</v>
      </c>
      <c r="AC83" s="39">
        <f t="shared" si="33"/>
        <v>91</v>
      </c>
      <c r="AD83" s="39">
        <f t="shared" si="33"/>
        <v>91</v>
      </c>
      <c r="AE83" s="39">
        <f t="shared" si="33"/>
        <v>91</v>
      </c>
      <c r="AF83" s="39">
        <f t="shared" si="33"/>
        <v>91</v>
      </c>
      <c r="AG83" s="39">
        <f t="shared" si="33"/>
        <v>91</v>
      </c>
      <c r="AH83" s="39">
        <f t="shared" si="33"/>
        <v>91</v>
      </c>
      <c r="AI83" s="218">
        <f t="shared" si="9"/>
        <v>91</v>
      </c>
    </row>
    <row r="84">
      <c r="C84" s="15" t="s">
        <v>130</v>
      </c>
      <c r="D84" s="218">
        <f t="shared" ref="D84:AI84" si="34">sum(D60:D83)</f>
        <v>237</v>
      </c>
      <c r="E84" s="218">
        <f t="shared" si="34"/>
        <v>820.67</v>
      </c>
      <c r="F84" s="218">
        <f t="shared" si="34"/>
        <v>842.67</v>
      </c>
      <c r="G84" s="218">
        <f t="shared" si="34"/>
        <v>927.67</v>
      </c>
      <c r="H84" s="218">
        <f t="shared" si="34"/>
        <v>951.67</v>
      </c>
      <c r="I84" s="218">
        <f t="shared" si="34"/>
        <v>951.67</v>
      </c>
      <c r="J84" s="218">
        <f t="shared" si="34"/>
        <v>970.67</v>
      </c>
      <c r="K84" s="218">
        <f t="shared" si="34"/>
        <v>1042.67</v>
      </c>
      <c r="L84" s="218">
        <f t="shared" si="34"/>
        <v>1262.67</v>
      </c>
      <c r="M84" s="218">
        <f t="shared" si="34"/>
        <v>1341.67</v>
      </c>
      <c r="N84" s="218">
        <f t="shared" si="34"/>
        <v>1341.67</v>
      </c>
      <c r="O84" s="218">
        <f t="shared" si="34"/>
        <v>1341.67</v>
      </c>
      <c r="P84" s="218">
        <f t="shared" si="34"/>
        <v>1341.67</v>
      </c>
      <c r="Q84" s="218">
        <f t="shared" si="34"/>
        <v>1360.67</v>
      </c>
      <c r="R84" s="218">
        <f t="shared" si="34"/>
        <v>1686.67</v>
      </c>
      <c r="S84" s="218">
        <f t="shared" si="34"/>
        <v>1712.67</v>
      </c>
      <c r="T84" s="218">
        <f t="shared" si="34"/>
        <v>1799.67</v>
      </c>
      <c r="U84" s="218">
        <f t="shared" si="34"/>
        <v>1910.67</v>
      </c>
      <c r="V84" s="218">
        <f t="shared" si="34"/>
        <v>1910.67</v>
      </c>
      <c r="W84" s="218">
        <f t="shared" si="34"/>
        <v>1910.67</v>
      </c>
      <c r="X84" s="218">
        <f t="shared" si="34"/>
        <v>1929.67</v>
      </c>
      <c r="Y84" s="218">
        <f t="shared" si="34"/>
        <v>2000.67</v>
      </c>
      <c r="Z84" s="218">
        <f t="shared" si="34"/>
        <v>2030.67</v>
      </c>
      <c r="AA84" s="218">
        <f t="shared" si="34"/>
        <v>2156.67</v>
      </c>
      <c r="AB84" s="218">
        <f t="shared" si="34"/>
        <v>2291.67</v>
      </c>
      <c r="AC84" s="218">
        <f t="shared" si="34"/>
        <v>2291.67</v>
      </c>
      <c r="AD84" s="218">
        <f t="shared" si="34"/>
        <v>2333.67</v>
      </c>
      <c r="AE84" s="218">
        <f t="shared" si="34"/>
        <v>2432.67</v>
      </c>
      <c r="AF84" s="218">
        <f t="shared" si="34"/>
        <v>2665.67</v>
      </c>
      <c r="AG84" s="218">
        <f t="shared" si="34"/>
        <v>2728.67</v>
      </c>
      <c r="AH84" s="218">
        <f t="shared" si="34"/>
        <v>2778.67</v>
      </c>
      <c r="AI84" s="218">
        <f t="shared" si="34"/>
        <v>2778.67</v>
      </c>
    </row>
    <row r="85"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</row>
    <row r="86">
      <c r="C86" s="78" t="s">
        <v>81</v>
      </c>
      <c r="D86" s="11">
        <f t="shared" ref="D86:AH86" si="35">D58</f>
        <v>1</v>
      </c>
      <c r="E86" s="11">
        <f t="shared" si="35"/>
        <v>2</v>
      </c>
      <c r="F86" s="11">
        <f t="shared" si="35"/>
        <v>3</v>
      </c>
      <c r="G86" s="11">
        <f t="shared" si="35"/>
        <v>4</v>
      </c>
      <c r="H86" s="11">
        <f t="shared" si="35"/>
        <v>5</v>
      </c>
      <c r="I86" s="11">
        <f t="shared" si="35"/>
        <v>6</v>
      </c>
      <c r="J86" s="11">
        <f t="shared" si="35"/>
        <v>7</v>
      </c>
      <c r="K86" s="11">
        <f t="shared" si="35"/>
        <v>8</v>
      </c>
      <c r="L86" s="11">
        <f t="shared" si="35"/>
        <v>9</v>
      </c>
      <c r="M86" s="11">
        <f t="shared" si="35"/>
        <v>10</v>
      </c>
      <c r="N86" s="11">
        <f t="shared" si="35"/>
        <v>11</v>
      </c>
      <c r="O86" s="11">
        <f t="shared" si="35"/>
        <v>12</v>
      </c>
      <c r="P86" s="11">
        <f t="shared" si="35"/>
        <v>13</v>
      </c>
      <c r="Q86" s="11">
        <f t="shared" si="35"/>
        <v>14</v>
      </c>
      <c r="R86" s="11">
        <f t="shared" si="35"/>
        <v>15</v>
      </c>
      <c r="S86" s="11">
        <f t="shared" si="35"/>
        <v>16</v>
      </c>
      <c r="T86" s="11">
        <f t="shared" si="35"/>
        <v>17</v>
      </c>
      <c r="U86" s="11">
        <f t="shared" si="35"/>
        <v>18</v>
      </c>
      <c r="V86" s="11">
        <f t="shared" si="35"/>
        <v>19</v>
      </c>
      <c r="W86" s="11">
        <f t="shared" si="35"/>
        <v>20</v>
      </c>
      <c r="X86" s="11">
        <f t="shared" si="35"/>
        <v>21</v>
      </c>
      <c r="Y86" s="11">
        <f t="shared" si="35"/>
        <v>22</v>
      </c>
      <c r="Z86" s="11">
        <f t="shared" si="35"/>
        <v>23</v>
      </c>
      <c r="AA86" s="11">
        <f t="shared" si="35"/>
        <v>24</v>
      </c>
      <c r="AB86" s="11">
        <f t="shared" si="35"/>
        <v>25</v>
      </c>
      <c r="AC86" s="11">
        <f t="shared" si="35"/>
        <v>26</v>
      </c>
      <c r="AD86" s="11">
        <f t="shared" si="35"/>
        <v>27</v>
      </c>
      <c r="AE86" s="11">
        <f t="shared" si="35"/>
        <v>28</v>
      </c>
      <c r="AF86" s="11">
        <f t="shared" si="35"/>
        <v>29</v>
      </c>
      <c r="AG86" s="11">
        <f t="shared" si="35"/>
        <v>30</v>
      </c>
      <c r="AH86" s="11">
        <f t="shared" si="35"/>
        <v>31</v>
      </c>
    </row>
    <row r="87">
      <c r="C87" s="78" t="s">
        <v>960</v>
      </c>
      <c r="D87" s="147">
        <f t="shared" ref="D87:AH87" si="36">D32</f>
        <v>0</v>
      </c>
      <c r="E87" s="147">
        <f t="shared" si="36"/>
        <v>0</v>
      </c>
      <c r="F87" s="147">
        <f t="shared" si="36"/>
        <v>0</v>
      </c>
      <c r="G87" s="147">
        <f t="shared" si="36"/>
        <v>0</v>
      </c>
      <c r="H87" s="147">
        <f t="shared" si="36"/>
        <v>0</v>
      </c>
      <c r="I87" s="147">
        <f t="shared" si="36"/>
        <v>0</v>
      </c>
      <c r="J87" s="147">
        <f t="shared" si="36"/>
        <v>0</v>
      </c>
      <c r="K87" s="147">
        <f t="shared" si="36"/>
        <v>0</v>
      </c>
      <c r="L87" s="147">
        <f t="shared" si="36"/>
        <v>0</v>
      </c>
      <c r="M87" s="147">
        <f t="shared" si="36"/>
        <v>0</v>
      </c>
      <c r="N87" s="147">
        <f t="shared" si="36"/>
        <v>0</v>
      </c>
      <c r="O87" s="147">
        <f t="shared" si="36"/>
        <v>0</v>
      </c>
      <c r="P87" s="147">
        <f t="shared" si="36"/>
        <v>0</v>
      </c>
      <c r="Q87" s="147">
        <f t="shared" si="36"/>
        <v>0</v>
      </c>
      <c r="R87" s="147">
        <f t="shared" si="36"/>
        <v>0</v>
      </c>
      <c r="S87" s="147">
        <f t="shared" si="36"/>
        <v>0</v>
      </c>
      <c r="T87" s="147">
        <f t="shared" si="36"/>
        <v>0</v>
      </c>
      <c r="U87" s="147">
        <f t="shared" si="36"/>
        <v>0</v>
      </c>
      <c r="V87" s="147">
        <f t="shared" si="36"/>
        <v>0</v>
      </c>
      <c r="W87" s="147">
        <f t="shared" si="36"/>
        <v>0</v>
      </c>
      <c r="X87" s="147">
        <f t="shared" si="36"/>
        <v>0</v>
      </c>
      <c r="Y87" s="147">
        <f t="shared" si="36"/>
        <v>0</v>
      </c>
      <c r="Z87" s="147">
        <f t="shared" si="36"/>
        <v>0</v>
      </c>
      <c r="AA87" s="147">
        <f t="shared" si="36"/>
        <v>0</v>
      </c>
      <c r="AB87" s="147">
        <f t="shared" si="36"/>
        <v>0</v>
      </c>
      <c r="AC87" s="147">
        <f t="shared" si="36"/>
        <v>0</v>
      </c>
      <c r="AD87" s="147">
        <f t="shared" si="36"/>
        <v>0</v>
      </c>
      <c r="AE87" s="147">
        <f t="shared" si="36"/>
        <v>0</v>
      </c>
      <c r="AF87" s="147">
        <f t="shared" si="36"/>
        <v>0</v>
      </c>
      <c r="AG87" s="147">
        <f t="shared" si="36"/>
        <v>0</v>
      </c>
      <c r="AH87" s="147">
        <f t="shared" si="36"/>
        <v>0</v>
      </c>
    </row>
    <row r="88">
      <c r="C88" s="78" t="s">
        <v>961</v>
      </c>
      <c r="D88" s="147">
        <f t="shared" ref="D88:AH88" si="37">D33</f>
        <v>2.838709677</v>
      </c>
      <c r="E88" s="147">
        <f t="shared" si="37"/>
        <v>5.677419355</v>
      </c>
      <c r="F88" s="147">
        <f t="shared" si="37"/>
        <v>8.516129032</v>
      </c>
      <c r="G88" s="147">
        <f t="shared" si="37"/>
        <v>11.35483871</v>
      </c>
      <c r="H88" s="147">
        <f t="shared" si="37"/>
        <v>14.19354839</v>
      </c>
      <c r="I88" s="147">
        <f t="shared" si="37"/>
        <v>17.03225806</v>
      </c>
      <c r="J88" s="147">
        <f t="shared" si="37"/>
        <v>19.87096774</v>
      </c>
      <c r="K88" s="147">
        <f t="shared" si="37"/>
        <v>22.70967742</v>
      </c>
      <c r="L88" s="147">
        <f t="shared" si="37"/>
        <v>25.5483871</v>
      </c>
      <c r="M88" s="147">
        <f t="shared" si="37"/>
        <v>28.38709677</v>
      </c>
      <c r="N88" s="147">
        <f t="shared" si="37"/>
        <v>31.22580645</v>
      </c>
      <c r="O88" s="147">
        <f t="shared" si="37"/>
        <v>34.06451613</v>
      </c>
      <c r="P88" s="147">
        <f t="shared" si="37"/>
        <v>36.90322581</v>
      </c>
      <c r="Q88" s="147">
        <f t="shared" si="37"/>
        <v>39.74193548</v>
      </c>
      <c r="R88" s="147">
        <f t="shared" si="37"/>
        <v>42.58064516</v>
      </c>
      <c r="S88" s="147">
        <f t="shared" si="37"/>
        <v>45.41935484</v>
      </c>
      <c r="T88" s="147">
        <f t="shared" si="37"/>
        <v>48.25806452</v>
      </c>
      <c r="U88" s="147">
        <f t="shared" si="37"/>
        <v>51.09677419</v>
      </c>
      <c r="V88" s="147">
        <f t="shared" si="37"/>
        <v>53.93548387</v>
      </c>
      <c r="W88" s="147">
        <f t="shared" si="37"/>
        <v>56.77419355</v>
      </c>
      <c r="X88" s="147">
        <f t="shared" si="37"/>
        <v>59.61290323</v>
      </c>
      <c r="Y88" s="147">
        <f t="shared" si="37"/>
        <v>62.4516129</v>
      </c>
      <c r="Z88" s="147">
        <f t="shared" si="37"/>
        <v>65.29032258</v>
      </c>
      <c r="AA88" s="147">
        <f t="shared" si="37"/>
        <v>68.12903226</v>
      </c>
      <c r="AB88" s="147">
        <f t="shared" si="37"/>
        <v>70.96774194</v>
      </c>
      <c r="AC88" s="147">
        <f t="shared" si="37"/>
        <v>73.80645161</v>
      </c>
      <c r="AD88" s="147">
        <f t="shared" si="37"/>
        <v>76.64516129</v>
      </c>
      <c r="AE88" s="147">
        <f t="shared" si="37"/>
        <v>79.48387097</v>
      </c>
      <c r="AF88" s="147">
        <f t="shared" si="37"/>
        <v>82.32258065</v>
      </c>
      <c r="AG88" s="147">
        <f t="shared" si="37"/>
        <v>85.16129032</v>
      </c>
      <c r="AH88" s="147">
        <f t="shared" si="37"/>
        <v>88</v>
      </c>
    </row>
    <row r="89">
      <c r="C89" s="78" t="s">
        <v>962</v>
      </c>
      <c r="D89" s="11">
        <f t="shared" ref="D89:AH89" si="38">D60</f>
        <v>0</v>
      </c>
      <c r="E89" s="11">
        <f t="shared" si="38"/>
        <v>0</v>
      </c>
      <c r="F89" s="11">
        <f t="shared" si="38"/>
        <v>0</v>
      </c>
      <c r="G89" s="11">
        <f t="shared" si="38"/>
        <v>0</v>
      </c>
      <c r="H89" s="11">
        <f t="shared" si="38"/>
        <v>0</v>
      </c>
      <c r="I89" s="11">
        <f t="shared" si="38"/>
        <v>0</v>
      </c>
      <c r="J89" s="11">
        <f t="shared" si="38"/>
        <v>0</v>
      </c>
      <c r="K89" s="11">
        <f t="shared" si="38"/>
        <v>0</v>
      </c>
      <c r="L89" s="11">
        <f t="shared" si="38"/>
        <v>0</v>
      </c>
      <c r="M89" s="11">
        <f t="shared" si="38"/>
        <v>0</v>
      </c>
      <c r="N89" s="11">
        <f t="shared" si="38"/>
        <v>0</v>
      </c>
      <c r="O89" s="11">
        <f t="shared" si="38"/>
        <v>0</v>
      </c>
      <c r="P89" s="11">
        <f t="shared" si="38"/>
        <v>0</v>
      </c>
      <c r="Q89" s="11">
        <f t="shared" si="38"/>
        <v>0</v>
      </c>
      <c r="R89" s="11">
        <f t="shared" si="38"/>
        <v>0</v>
      </c>
      <c r="S89" s="11">
        <f t="shared" si="38"/>
        <v>0</v>
      </c>
      <c r="T89" s="11">
        <f t="shared" si="38"/>
        <v>0</v>
      </c>
      <c r="U89" s="11">
        <f t="shared" si="38"/>
        <v>0</v>
      </c>
      <c r="V89" s="11">
        <f t="shared" si="38"/>
        <v>0</v>
      </c>
      <c r="W89" s="11">
        <f t="shared" si="38"/>
        <v>0</v>
      </c>
      <c r="X89" s="11">
        <f t="shared" si="38"/>
        <v>0</v>
      </c>
      <c r="Y89" s="11">
        <f t="shared" si="38"/>
        <v>0</v>
      </c>
      <c r="Z89" s="11">
        <f t="shared" si="38"/>
        <v>0</v>
      </c>
      <c r="AA89" s="11">
        <f t="shared" si="38"/>
        <v>0</v>
      </c>
      <c r="AB89" s="11">
        <f t="shared" si="38"/>
        <v>0</v>
      </c>
      <c r="AC89" s="11">
        <f t="shared" si="38"/>
        <v>0</v>
      </c>
      <c r="AD89" s="11">
        <f t="shared" si="38"/>
        <v>0</v>
      </c>
      <c r="AE89" s="11">
        <f t="shared" si="38"/>
        <v>0</v>
      </c>
      <c r="AF89" s="11">
        <f t="shared" si="38"/>
        <v>0</v>
      </c>
      <c r="AG89" s="11">
        <f t="shared" si="38"/>
        <v>0</v>
      </c>
      <c r="AH89" s="11">
        <f t="shared" si="38"/>
        <v>0</v>
      </c>
    </row>
    <row r="90">
      <c r="C90" s="78" t="s">
        <v>963</v>
      </c>
      <c r="D90" s="147">
        <f t="shared" ref="D90:AH90" si="39">D61</f>
        <v>95</v>
      </c>
      <c r="E90" s="147">
        <f t="shared" si="39"/>
        <v>95</v>
      </c>
      <c r="F90" s="147">
        <f t="shared" si="39"/>
        <v>95</v>
      </c>
      <c r="G90" s="147">
        <f t="shared" si="39"/>
        <v>95</v>
      </c>
      <c r="H90" s="147">
        <f t="shared" si="39"/>
        <v>95</v>
      </c>
      <c r="I90" s="147">
        <f t="shared" si="39"/>
        <v>95</v>
      </c>
      <c r="J90" s="147">
        <f t="shared" si="39"/>
        <v>95</v>
      </c>
      <c r="K90" s="147">
        <f t="shared" si="39"/>
        <v>95</v>
      </c>
      <c r="L90" s="147">
        <f t="shared" si="39"/>
        <v>95</v>
      </c>
      <c r="M90" s="147">
        <f t="shared" si="39"/>
        <v>95</v>
      </c>
      <c r="N90" s="147">
        <f t="shared" si="39"/>
        <v>95</v>
      </c>
      <c r="O90" s="147">
        <f t="shared" si="39"/>
        <v>95</v>
      </c>
      <c r="P90" s="147">
        <f t="shared" si="39"/>
        <v>95</v>
      </c>
      <c r="Q90" s="147">
        <f t="shared" si="39"/>
        <v>95</v>
      </c>
      <c r="R90" s="147">
        <f t="shared" si="39"/>
        <v>95</v>
      </c>
      <c r="S90" s="147">
        <f t="shared" si="39"/>
        <v>95</v>
      </c>
      <c r="T90" s="147">
        <f t="shared" si="39"/>
        <v>95</v>
      </c>
      <c r="U90" s="147">
        <f t="shared" si="39"/>
        <v>95</v>
      </c>
      <c r="V90" s="147">
        <f t="shared" si="39"/>
        <v>95</v>
      </c>
      <c r="W90" s="147">
        <f t="shared" si="39"/>
        <v>95</v>
      </c>
      <c r="X90" s="147">
        <f t="shared" si="39"/>
        <v>95</v>
      </c>
      <c r="Y90" s="147">
        <f t="shared" si="39"/>
        <v>95</v>
      </c>
      <c r="Z90" s="147">
        <f t="shared" si="39"/>
        <v>95</v>
      </c>
      <c r="AA90" s="147">
        <f t="shared" si="39"/>
        <v>95</v>
      </c>
      <c r="AB90" s="147">
        <f t="shared" si="39"/>
        <v>95</v>
      </c>
      <c r="AC90" s="147">
        <f t="shared" si="39"/>
        <v>95</v>
      </c>
      <c r="AD90" s="147">
        <f t="shared" si="39"/>
        <v>95</v>
      </c>
      <c r="AE90" s="147">
        <f t="shared" si="39"/>
        <v>95</v>
      </c>
      <c r="AF90" s="147">
        <f t="shared" si="39"/>
        <v>95</v>
      </c>
      <c r="AG90" s="147">
        <f t="shared" si="39"/>
        <v>95</v>
      </c>
      <c r="AH90" s="147">
        <f t="shared" si="39"/>
        <v>95</v>
      </c>
    </row>
    <row r="91"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</row>
    <row r="92"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</row>
    <row r="93"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</row>
    <row r="94"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</row>
    <row r="95"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</row>
    <row r="96"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</row>
    <row r="97"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</row>
    <row r="98"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</row>
    <row r="99"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</row>
    <row r="101"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</row>
    <row r="102"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</row>
    <row r="104"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</row>
    <row r="105"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</row>
    <row r="106"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</row>
    <row r="107"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</row>
    <row r="108"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</row>
    <row r="109"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>
      <c r="C110" s="78" t="s">
        <v>81</v>
      </c>
      <c r="D110" s="11">
        <f t="shared" ref="D110:AH110" si="40">D86</f>
        <v>1</v>
      </c>
      <c r="E110" s="11">
        <f t="shared" si="40"/>
        <v>2</v>
      </c>
      <c r="F110" s="11">
        <f t="shared" si="40"/>
        <v>3</v>
      </c>
      <c r="G110" s="11">
        <f t="shared" si="40"/>
        <v>4</v>
      </c>
      <c r="H110" s="11">
        <f t="shared" si="40"/>
        <v>5</v>
      </c>
      <c r="I110" s="11">
        <f t="shared" si="40"/>
        <v>6</v>
      </c>
      <c r="J110" s="11">
        <f t="shared" si="40"/>
        <v>7</v>
      </c>
      <c r="K110" s="11">
        <f t="shared" si="40"/>
        <v>8</v>
      </c>
      <c r="L110" s="11">
        <f t="shared" si="40"/>
        <v>9</v>
      </c>
      <c r="M110" s="11">
        <f t="shared" si="40"/>
        <v>10</v>
      </c>
      <c r="N110" s="11">
        <f t="shared" si="40"/>
        <v>11</v>
      </c>
      <c r="O110" s="11">
        <f t="shared" si="40"/>
        <v>12</v>
      </c>
      <c r="P110" s="11">
        <f t="shared" si="40"/>
        <v>13</v>
      </c>
      <c r="Q110" s="11">
        <f t="shared" si="40"/>
        <v>14</v>
      </c>
      <c r="R110" s="11">
        <f t="shared" si="40"/>
        <v>15</v>
      </c>
      <c r="S110" s="11">
        <f t="shared" si="40"/>
        <v>16</v>
      </c>
      <c r="T110" s="11">
        <f t="shared" si="40"/>
        <v>17</v>
      </c>
      <c r="U110" s="11">
        <f t="shared" si="40"/>
        <v>18</v>
      </c>
      <c r="V110" s="11">
        <f t="shared" si="40"/>
        <v>19</v>
      </c>
      <c r="W110" s="11">
        <f t="shared" si="40"/>
        <v>20</v>
      </c>
      <c r="X110" s="11">
        <f t="shared" si="40"/>
        <v>21</v>
      </c>
      <c r="Y110" s="11">
        <f t="shared" si="40"/>
        <v>22</v>
      </c>
      <c r="Z110" s="11">
        <f t="shared" si="40"/>
        <v>23</v>
      </c>
      <c r="AA110" s="11">
        <f t="shared" si="40"/>
        <v>24</v>
      </c>
      <c r="AB110" s="11">
        <f t="shared" si="40"/>
        <v>25</v>
      </c>
      <c r="AC110" s="11">
        <f t="shared" si="40"/>
        <v>26</v>
      </c>
      <c r="AD110" s="11">
        <f t="shared" si="40"/>
        <v>27</v>
      </c>
      <c r="AE110" s="11">
        <f t="shared" si="40"/>
        <v>28</v>
      </c>
      <c r="AF110" s="11">
        <f t="shared" si="40"/>
        <v>29</v>
      </c>
      <c r="AG110" s="11">
        <f t="shared" si="40"/>
        <v>30</v>
      </c>
      <c r="AH110" s="11">
        <f t="shared" si="40"/>
        <v>31</v>
      </c>
    </row>
    <row r="111">
      <c r="C111" s="56" t="s">
        <v>964</v>
      </c>
      <c r="D111" s="147">
        <f t="shared" ref="D111:AH111" si="41">D34+D35+D36</f>
        <v>22.19354839</v>
      </c>
      <c r="E111" s="147">
        <f t="shared" si="41"/>
        <v>44.38709677</v>
      </c>
      <c r="F111" s="147">
        <f t="shared" si="41"/>
        <v>66.58064516</v>
      </c>
      <c r="G111" s="147">
        <f t="shared" si="41"/>
        <v>88.77419355</v>
      </c>
      <c r="H111" s="147">
        <f t="shared" si="41"/>
        <v>110.9677419</v>
      </c>
      <c r="I111" s="147">
        <f t="shared" si="41"/>
        <v>133.1612903</v>
      </c>
      <c r="J111" s="147">
        <f t="shared" si="41"/>
        <v>155.3548387</v>
      </c>
      <c r="K111" s="147">
        <f t="shared" si="41"/>
        <v>177.5483871</v>
      </c>
      <c r="L111" s="147">
        <f t="shared" si="41"/>
        <v>199.7419355</v>
      </c>
      <c r="M111" s="147">
        <f t="shared" si="41"/>
        <v>221.9354839</v>
      </c>
      <c r="N111" s="147">
        <f t="shared" si="41"/>
        <v>244.1290323</v>
      </c>
      <c r="O111" s="147">
        <f t="shared" si="41"/>
        <v>266.3225806</v>
      </c>
      <c r="P111" s="147">
        <f t="shared" si="41"/>
        <v>288.516129</v>
      </c>
      <c r="Q111" s="147">
        <f t="shared" si="41"/>
        <v>310.7096774</v>
      </c>
      <c r="R111" s="147">
        <f t="shared" si="41"/>
        <v>332.9032258</v>
      </c>
      <c r="S111" s="147">
        <f t="shared" si="41"/>
        <v>355.0967742</v>
      </c>
      <c r="T111" s="147">
        <f t="shared" si="41"/>
        <v>377.2903226</v>
      </c>
      <c r="U111" s="147">
        <f t="shared" si="41"/>
        <v>399.483871</v>
      </c>
      <c r="V111" s="147">
        <f t="shared" si="41"/>
        <v>421.6774194</v>
      </c>
      <c r="W111" s="147">
        <f t="shared" si="41"/>
        <v>443.8709677</v>
      </c>
      <c r="X111" s="147">
        <f t="shared" si="41"/>
        <v>466.0645161</v>
      </c>
      <c r="Y111" s="147">
        <f t="shared" si="41"/>
        <v>488.2580645</v>
      </c>
      <c r="Z111" s="147">
        <f t="shared" si="41"/>
        <v>510.4516129</v>
      </c>
      <c r="AA111" s="147">
        <f t="shared" si="41"/>
        <v>532.6451613</v>
      </c>
      <c r="AB111" s="147">
        <f t="shared" si="41"/>
        <v>554.8387097</v>
      </c>
      <c r="AC111" s="147">
        <f t="shared" si="41"/>
        <v>577.0322581</v>
      </c>
      <c r="AD111" s="147">
        <f t="shared" si="41"/>
        <v>599.2258065</v>
      </c>
      <c r="AE111" s="147">
        <f t="shared" si="41"/>
        <v>621.4193548</v>
      </c>
      <c r="AF111" s="147">
        <f t="shared" si="41"/>
        <v>643.6129032</v>
      </c>
      <c r="AG111" s="147">
        <f t="shared" si="41"/>
        <v>665.8064516</v>
      </c>
      <c r="AH111" s="147">
        <f t="shared" si="41"/>
        <v>688</v>
      </c>
    </row>
    <row r="112">
      <c r="C112" s="56" t="s">
        <v>965</v>
      </c>
      <c r="D112" s="147">
        <f t="shared" ref="D112:AH112" si="42">D62+D63+D64</f>
        <v>11</v>
      </c>
      <c r="E112" s="147">
        <f t="shared" si="42"/>
        <v>50</v>
      </c>
      <c r="F112" s="147">
        <f t="shared" si="42"/>
        <v>72</v>
      </c>
      <c r="G112" s="147">
        <f t="shared" si="42"/>
        <v>157</v>
      </c>
      <c r="H112" s="147">
        <f t="shared" si="42"/>
        <v>181</v>
      </c>
      <c r="I112" s="147">
        <f t="shared" si="42"/>
        <v>181</v>
      </c>
      <c r="J112" s="147">
        <f t="shared" si="42"/>
        <v>197</v>
      </c>
      <c r="K112" s="147">
        <f t="shared" si="42"/>
        <v>197</v>
      </c>
      <c r="L112" s="147">
        <f t="shared" si="42"/>
        <v>241</v>
      </c>
      <c r="M112" s="147">
        <f t="shared" si="42"/>
        <v>241</v>
      </c>
      <c r="N112" s="147">
        <f t="shared" si="42"/>
        <v>241</v>
      </c>
      <c r="O112" s="147">
        <f t="shared" si="42"/>
        <v>241</v>
      </c>
      <c r="P112" s="147">
        <f t="shared" si="42"/>
        <v>241</v>
      </c>
      <c r="Q112" s="147">
        <f t="shared" si="42"/>
        <v>257</v>
      </c>
      <c r="R112" s="147">
        <f t="shared" si="42"/>
        <v>257</v>
      </c>
      <c r="S112" s="147">
        <f t="shared" si="42"/>
        <v>283</v>
      </c>
      <c r="T112" s="147">
        <f t="shared" si="42"/>
        <v>353</v>
      </c>
      <c r="U112" s="147">
        <f t="shared" si="42"/>
        <v>366</v>
      </c>
      <c r="V112" s="147">
        <f t="shared" si="42"/>
        <v>366</v>
      </c>
      <c r="W112" s="147">
        <f t="shared" si="42"/>
        <v>366</v>
      </c>
      <c r="X112" s="147">
        <f t="shared" si="42"/>
        <v>382</v>
      </c>
      <c r="Y112" s="147">
        <f t="shared" si="42"/>
        <v>412</v>
      </c>
      <c r="Z112" s="147">
        <f t="shared" si="42"/>
        <v>412</v>
      </c>
      <c r="AA112" s="147">
        <f t="shared" si="42"/>
        <v>510</v>
      </c>
      <c r="AB112" s="147">
        <f t="shared" si="42"/>
        <v>554</v>
      </c>
      <c r="AC112" s="147">
        <f t="shared" si="42"/>
        <v>554</v>
      </c>
      <c r="AD112" s="147">
        <f t="shared" si="42"/>
        <v>563</v>
      </c>
      <c r="AE112" s="147">
        <f t="shared" si="42"/>
        <v>579</v>
      </c>
      <c r="AF112" s="147">
        <f t="shared" si="42"/>
        <v>627</v>
      </c>
      <c r="AG112" s="147">
        <f t="shared" si="42"/>
        <v>627</v>
      </c>
      <c r="AH112" s="147">
        <f t="shared" si="42"/>
        <v>627</v>
      </c>
    </row>
    <row r="113">
      <c r="C113" s="56" t="s">
        <v>966</v>
      </c>
      <c r="D113" s="147">
        <f t="shared" ref="D113:AH113" si="43">D37</f>
        <v>20.80645161</v>
      </c>
      <c r="E113" s="147">
        <f t="shared" si="43"/>
        <v>41.61290323</v>
      </c>
      <c r="F113" s="147">
        <f t="shared" si="43"/>
        <v>62.41935484</v>
      </c>
      <c r="G113" s="147">
        <f t="shared" si="43"/>
        <v>83.22580645</v>
      </c>
      <c r="H113" s="147">
        <f t="shared" si="43"/>
        <v>104.0322581</v>
      </c>
      <c r="I113" s="147">
        <f t="shared" si="43"/>
        <v>124.8387097</v>
      </c>
      <c r="J113" s="147">
        <f t="shared" si="43"/>
        <v>145.6451613</v>
      </c>
      <c r="K113" s="147">
        <f t="shared" si="43"/>
        <v>166.4516129</v>
      </c>
      <c r="L113" s="147">
        <f t="shared" si="43"/>
        <v>187.2580645</v>
      </c>
      <c r="M113" s="147">
        <f t="shared" si="43"/>
        <v>208.0645161</v>
      </c>
      <c r="N113" s="147">
        <f t="shared" si="43"/>
        <v>228.8709677</v>
      </c>
      <c r="O113" s="147">
        <f t="shared" si="43"/>
        <v>249.6774194</v>
      </c>
      <c r="P113" s="147">
        <f t="shared" si="43"/>
        <v>270.483871</v>
      </c>
      <c r="Q113" s="147">
        <f t="shared" si="43"/>
        <v>291.2903226</v>
      </c>
      <c r="R113" s="147">
        <f t="shared" si="43"/>
        <v>312.0967742</v>
      </c>
      <c r="S113" s="147">
        <f t="shared" si="43"/>
        <v>332.9032258</v>
      </c>
      <c r="T113" s="147">
        <f t="shared" si="43"/>
        <v>353.7096774</v>
      </c>
      <c r="U113" s="147">
        <f t="shared" si="43"/>
        <v>374.516129</v>
      </c>
      <c r="V113" s="147">
        <f t="shared" si="43"/>
        <v>395.3225806</v>
      </c>
      <c r="W113" s="147">
        <f t="shared" si="43"/>
        <v>416.1290323</v>
      </c>
      <c r="X113" s="147">
        <f t="shared" si="43"/>
        <v>436.9354839</v>
      </c>
      <c r="Y113" s="147">
        <f t="shared" si="43"/>
        <v>457.7419355</v>
      </c>
      <c r="Z113" s="147">
        <f t="shared" si="43"/>
        <v>478.5483871</v>
      </c>
      <c r="AA113" s="147">
        <f t="shared" si="43"/>
        <v>499.3548387</v>
      </c>
      <c r="AB113" s="147">
        <f t="shared" si="43"/>
        <v>520.1612903</v>
      </c>
      <c r="AC113" s="147">
        <f t="shared" si="43"/>
        <v>540.9677419</v>
      </c>
      <c r="AD113" s="147">
        <f t="shared" si="43"/>
        <v>561.7741935</v>
      </c>
      <c r="AE113" s="147">
        <f t="shared" si="43"/>
        <v>582.5806452</v>
      </c>
      <c r="AF113" s="147">
        <f t="shared" si="43"/>
        <v>603.3870968</v>
      </c>
      <c r="AG113" s="147">
        <f t="shared" si="43"/>
        <v>624.1935484</v>
      </c>
      <c r="AH113" s="147">
        <f t="shared" si="43"/>
        <v>645</v>
      </c>
    </row>
    <row r="114">
      <c r="C114" s="56" t="s">
        <v>967</v>
      </c>
      <c r="D114" s="147">
        <f t="shared" ref="D114:AH114" si="44">D65</f>
        <v>0</v>
      </c>
      <c r="E114" s="147">
        <f t="shared" si="44"/>
        <v>110</v>
      </c>
      <c r="F114" s="147">
        <f t="shared" si="44"/>
        <v>110</v>
      </c>
      <c r="G114" s="147">
        <f t="shared" si="44"/>
        <v>110</v>
      </c>
      <c r="H114" s="147">
        <f t="shared" si="44"/>
        <v>110</v>
      </c>
      <c r="I114" s="147">
        <f t="shared" si="44"/>
        <v>110</v>
      </c>
      <c r="J114" s="147">
        <f t="shared" si="44"/>
        <v>110</v>
      </c>
      <c r="K114" s="147">
        <f t="shared" si="44"/>
        <v>120</v>
      </c>
      <c r="L114" s="147">
        <f t="shared" si="44"/>
        <v>293</v>
      </c>
      <c r="M114" s="147">
        <f t="shared" si="44"/>
        <v>320</v>
      </c>
      <c r="N114" s="147">
        <f t="shared" si="44"/>
        <v>320</v>
      </c>
      <c r="O114" s="147">
        <f t="shared" si="44"/>
        <v>320</v>
      </c>
      <c r="P114" s="147">
        <f t="shared" si="44"/>
        <v>320</v>
      </c>
      <c r="Q114" s="147">
        <f t="shared" si="44"/>
        <v>320</v>
      </c>
      <c r="R114" s="147">
        <f t="shared" si="44"/>
        <v>584</v>
      </c>
      <c r="S114" s="147">
        <f t="shared" si="44"/>
        <v>584</v>
      </c>
      <c r="T114" s="147">
        <f t="shared" si="44"/>
        <v>584</v>
      </c>
      <c r="U114" s="147">
        <f t="shared" si="44"/>
        <v>609</v>
      </c>
      <c r="V114" s="147">
        <f t="shared" si="44"/>
        <v>609</v>
      </c>
      <c r="W114" s="147">
        <f t="shared" si="44"/>
        <v>609</v>
      </c>
      <c r="X114" s="147">
        <f t="shared" si="44"/>
        <v>609</v>
      </c>
      <c r="Y114" s="147">
        <f t="shared" si="44"/>
        <v>609</v>
      </c>
      <c r="Z114" s="147">
        <f t="shared" si="44"/>
        <v>639</v>
      </c>
      <c r="AA114" s="147">
        <f t="shared" si="44"/>
        <v>664</v>
      </c>
      <c r="AB114" s="147">
        <f t="shared" si="44"/>
        <v>681</v>
      </c>
      <c r="AC114" s="147">
        <f t="shared" si="44"/>
        <v>681</v>
      </c>
      <c r="AD114" s="147">
        <f t="shared" si="44"/>
        <v>681</v>
      </c>
      <c r="AE114" s="147">
        <f t="shared" si="44"/>
        <v>681</v>
      </c>
      <c r="AF114" s="147">
        <f t="shared" si="44"/>
        <v>866</v>
      </c>
      <c r="AG114" s="147">
        <f t="shared" si="44"/>
        <v>866</v>
      </c>
      <c r="AH114" s="147">
        <f t="shared" si="44"/>
        <v>866</v>
      </c>
    </row>
    <row r="115">
      <c r="C115" s="56" t="s">
        <v>968</v>
      </c>
      <c r="D115" s="147">
        <f t="shared" ref="D115:AH115" si="45">D38+D39+D40</f>
        <v>15.70967742</v>
      </c>
      <c r="E115" s="147">
        <f t="shared" si="45"/>
        <v>31.41935484</v>
      </c>
      <c r="F115" s="147">
        <f t="shared" si="45"/>
        <v>47.12903226</v>
      </c>
      <c r="G115" s="147">
        <f t="shared" si="45"/>
        <v>62.83870968</v>
      </c>
      <c r="H115" s="147">
        <f t="shared" si="45"/>
        <v>78.5483871</v>
      </c>
      <c r="I115" s="147">
        <f t="shared" si="45"/>
        <v>94.25806452</v>
      </c>
      <c r="J115" s="147">
        <f t="shared" si="45"/>
        <v>109.9677419</v>
      </c>
      <c r="K115" s="147">
        <f t="shared" si="45"/>
        <v>125.6774194</v>
      </c>
      <c r="L115" s="147">
        <f t="shared" si="45"/>
        <v>141.3870968</v>
      </c>
      <c r="M115" s="147">
        <f t="shared" si="45"/>
        <v>157.0967742</v>
      </c>
      <c r="N115" s="147">
        <f t="shared" si="45"/>
        <v>172.8064516</v>
      </c>
      <c r="O115" s="147">
        <f t="shared" si="45"/>
        <v>188.516129</v>
      </c>
      <c r="P115" s="147">
        <f t="shared" si="45"/>
        <v>204.2258065</v>
      </c>
      <c r="Q115" s="147">
        <f t="shared" si="45"/>
        <v>219.9354839</v>
      </c>
      <c r="R115" s="147">
        <f t="shared" si="45"/>
        <v>235.6451613</v>
      </c>
      <c r="S115" s="147">
        <f t="shared" si="45"/>
        <v>251.3548387</v>
      </c>
      <c r="T115" s="147">
        <f t="shared" si="45"/>
        <v>267.0645161</v>
      </c>
      <c r="U115" s="147">
        <f t="shared" si="45"/>
        <v>282.7741935</v>
      </c>
      <c r="V115" s="147">
        <f t="shared" si="45"/>
        <v>298.483871</v>
      </c>
      <c r="W115" s="147">
        <f t="shared" si="45"/>
        <v>314.1935484</v>
      </c>
      <c r="X115" s="147">
        <f t="shared" si="45"/>
        <v>329.9032258</v>
      </c>
      <c r="Y115" s="147">
        <f t="shared" si="45"/>
        <v>345.6129032</v>
      </c>
      <c r="Z115" s="147">
        <f t="shared" si="45"/>
        <v>361.3225806</v>
      </c>
      <c r="AA115" s="147">
        <f t="shared" si="45"/>
        <v>377.0322581</v>
      </c>
      <c r="AB115" s="147">
        <f t="shared" si="45"/>
        <v>392.7419355</v>
      </c>
      <c r="AC115" s="147">
        <f t="shared" si="45"/>
        <v>408.4516129</v>
      </c>
      <c r="AD115" s="147">
        <f t="shared" si="45"/>
        <v>424.1612903</v>
      </c>
      <c r="AE115" s="147">
        <f t="shared" si="45"/>
        <v>439.8709677</v>
      </c>
      <c r="AF115" s="147">
        <f t="shared" si="45"/>
        <v>455.5806452</v>
      </c>
      <c r="AG115" s="147">
        <f t="shared" si="45"/>
        <v>471.2903226</v>
      </c>
      <c r="AH115" s="147">
        <f t="shared" si="45"/>
        <v>487</v>
      </c>
    </row>
    <row r="116">
      <c r="C116" s="56" t="s">
        <v>969</v>
      </c>
      <c r="D116" s="147">
        <f t="shared" ref="D116:AH116" si="46">D66+D67+D68</f>
        <v>0</v>
      </c>
      <c r="E116" s="147">
        <f t="shared" si="46"/>
        <v>0</v>
      </c>
      <c r="F116" s="147">
        <f t="shared" si="46"/>
        <v>0</v>
      </c>
      <c r="G116" s="147">
        <f t="shared" si="46"/>
        <v>0</v>
      </c>
      <c r="H116" s="147">
        <f t="shared" si="46"/>
        <v>0</v>
      </c>
      <c r="I116" s="147">
        <f t="shared" si="46"/>
        <v>0</v>
      </c>
      <c r="J116" s="147">
        <f t="shared" si="46"/>
        <v>0</v>
      </c>
      <c r="K116" s="147">
        <f t="shared" si="46"/>
        <v>56</v>
      </c>
      <c r="L116" s="147">
        <f t="shared" si="46"/>
        <v>56</v>
      </c>
      <c r="M116" s="147">
        <f t="shared" si="46"/>
        <v>56</v>
      </c>
      <c r="N116" s="147">
        <f t="shared" si="46"/>
        <v>56</v>
      </c>
      <c r="O116" s="147">
        <f t="shared" si="46"/>
        <v>56</v>
      </c>
      <c r="P116" s="147">
        <f t="shared" si="46"/>
        <v>56</v>
      </c>
      <c r="Q116" s="147">
        <f t="shared" si="46"/>
        <v>56</v>
      </c>
      <c r="R116" s="147">
        <f t="shared" si="46"/>
        <v>56</v>
      </c>
      <c r="S116" s="147">
        <f t="shared" si="46"/>
        <v>56</v>
      </c>
      <c r="T116" s="147">
        <f t="shared" si="46"/>
        <v>56</v>
      </c>
      <c r="U116" s="147">
        <f t="shared" si="46"/>
        <v>56</v>
      </c>
      <c r="V116" s="147">
        <f t="shared" si="46"/>
        <v>56</v>
      </c>
      <c r="W116" s="147">
        <f t="shared" si="46"/>
        <v>56</v>
      </c>
      <c r="X116" s="147">
        <f t="shared" si="46"/>
        <v>56</v>
      </c>
      <c r="Y116" s="147">
        <f t="shared" si="46"/>
        <v>56</v>
      </c>
      <c r="Z116" s="147">
        <f t="shared" si="46"/>
        <v>56</v>
      </c>
      <c r="AA116" s="147">
        <f t="shared" si="46"/>
        <v>56</v>
      </c>
      <c r="AB116" s="147">
        <f t="shared" si="46"/>
        <v>56</v>
      </c>
      <c r="AC116" s="147">
        <f t="shared" si="46"/>
        <v>56</v>
      </c>
      <c r="AD116" s="147">
        <f t="shared" si="46"/>
        <v>56</v>
      </c>
      <c r="AE116" s="147">
        <f t="shared" si="46"/>
        <v>56</v>
      </c>
      <c r="AF116" s="147">
        <f t="shared" si="46"/>
        <v>56</v>
      </c>
      <c r="AG116" s="147">
        <f t="shared" si="46"/>
        <v>112</v>
      </c>
      <c r="AH116" s="147">
        <f t="shared" si="46"/>
        <v>112</v>
      </c>
    </row>
    <row r="117"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</row>
    <row r="118"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</row>
    <row r="119"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</row>
    <row r="120"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</row>
    <row r="122"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</row>
    <row r="123"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</row>
    <row r="124"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</row>
    <row r="125"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</row>
    <row r="126"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</row>
    <row r="132"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</row>
    <row r="133"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</row>
    <row r="134"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</row>
    <row r="135"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</row>
    <row r="136"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</row>
    <row r="137">
      <c r="C137" s="78" t="s">
        <v>81</v>
      </c>
      <c r="D137" s="11">
        <f t="shared" ref="D137:AH137" si="47">D110</f>
        <v>1</v>
      </c>
      <c r="E137" s="11">
        <f t="shared" si="47"/>
        <v>2</v>
      </c>
      <c r="F137" s="11">
        <f t="shared" si="47"/>
        <v>3</v>
      </c>
      <c r="G137" s="11">
        <f t="shared" si="47"/>
        <v>4</v>
      </c>
      <c r="H137" s="11">
        <f t="shared" si="47"/>
        <v>5</v>
      </c>
      <c r="I137" s="11">
        <f t="shared" si="47"/>
        <v>6</v>
      </c>
      <c r="J137" s="11">
        <f t="shared" si="47"/>
        <v>7</v>
      </c>
      <c r="K137" s="11">
        <f t="shared" si="47"/>
        <v>8</v>
      </c>
      <c r="L137" s="11">
        <f t="shared" si="47"/>
        <v>9</v>
      </c>
      <c r="M137" s="11">
        <f t="shared" si="47"/>
        <v>10</v>
      </c>
      <c r="N137" s="11">
        <f t="shared" si="47"/>
        <v>11</v>
      </c>
      <c r="O137" s="11">
        <f t="shared" si="47"/>
        <v>12</v>
      </c>
      <c r="P137" s="11">
        <f t="shared" si="47"/>
        <v>13</v>
      </c>
      <c r="Q137" s="11">
        <f t="shared" si="47"/>
        <v>14</v>
      </c>
      <c r="R137" s="11">
        <f t="shared" si="47"/>
        <v>15</v>
      </c>
      <c r="S137" s="11">
        <f t="shared" si="47"/>
        <v>16</v>
      </c>
      <c r="T137" s="11">
        <f t="shared" si="47"/>
        <v>17</v>
      </c>
      <c r="U137" s="11">
        <f t="shared" si="47"/>
        <v>18</v>
      </c>
      <c r="V137" s="11">
        <f t="shared" si="47"/>
        <v>19</v>
      </c>
      <c r="W137" s="11">
        <f t="shared" si="47"/>
        <v>20</v>
      </c>
      <c r="X137" s="11">
        <f t="shared" si="47"/>
        <v>21</v>
      </c>
      <c r="Y137" s="11">
        <f t="shared" si="47"/>
        <v>22</v>
      </c>
      <c r="Z137" s="11">
        <f t="shared" si="47"/>
        <v>23</v>
      </c>
      <c r="AA137" s="11">
        <f t="shared" si="47"/>
        <v>24</v>
      </c>
      <c r="AB137" s="11">
        <f t="shared" si="47"/>
        <v>25</v>
      </c>
      <c r="AC137" s="11">
        <f t="shared" si="47"/>
        <v>26</v>
      </c>
      <c r="AD137" s="11">
        <f t="shared" si="47"/>
        <v>27</v>
      </c>
      <c r="AE137" s="11">
        <f t="shared" si="47"/>
        <v>28</v>
      </c>
      <c r="AF137" s="11">
        <f t="shared" si="47"/>
        <v>29</v>
      </c>
      <c r="AG137" s="11">
        <f t="shared" si="47"/>
        <v>30</v>
      </c>
      <c r="AH137" s="11">
        <f t="shared" si="47"/>
        <v>31</v>
      </c>
    </row>
    <row r="138">
      <c r="C138" s="56" t="s">
        <v>970</v>
      </c>
      <c r="D138" s="147">
        <f t="shared" ref="D138:AH138" si="48">SUM(D43:D48)</f>
        <v>8.225806452</v>
      </c>
      <c r="E138" s="147">
        <f t="shared" si="48"/>
        <v>16.4516129</v>
      </c>
      <c r="F138" s="147">
        <f t="shared" si="48"/>
        <v>24.67741935</v>
      </c>
      <c r="G138" s="147">
        <f t="shared" si="48"/>
        <v>32.90322581</v>
      </c>
      <c r="H138" s="147">
        <f t="shared" si="48"/>
        <v>41.12903226</v>
      </c>
      <c r="I138" s="147">
        <f t="shared" si="48"/>
        <v>49.35483871</v>
      </c>
      <c r="J138" s="147">
        <f t="shared" si="48"/>
        <v>57.58064516</v>
      </c>
      <c r="K138" s="147">
        <f t="shared" si="48"/>
        <v>65.80645161</v>
      </c>
      <c r="L138" s="147">
        <f t="shared" si="48"/>
        <v>74.03225806</v>
      </c>
      <c r="M138" s="147">
        <f t="shared" si="48"/>
        <v>82.25806452</v>
      </c>
      <c r="N138" s="147">
        <f t="shared" si="48"/>
        <v>90.48387097</v>
      </c>
      <c r="O138" s="147">
        <f t="shared" si="48"/>
        <v>98.70967742</v>
      </c>
      <c r="P138" s="147">
        <f t="shared" si="48"/>
        <v>106.9354839</v>
      </c>
      <c r="Q138" s="147">
        <f t="shared" si="48"/>
        <v>115.1612903</v>
      </c>
      <c r="R138" s="147">
        <f t="shared" si="48"/>
        <v>123.3870968</v>
      </c>
      <c r="S138" s="147">
        <f t="shared" si="48"/>
        <v>131.6129032</v>
      </c>
      <c r="T138" s="147">
        <f t="shared" si="48"/>
        <v>139.8387097</v>
      </c>
      <c r="U138" s="147">
        <f t="shared" si="48"/>
        <v>148.0645161</v>
      </c>
      <c r="V138" s="147">
        <f t="shared" si="48"/>
        <v>156.2903226</v>
      </c>
      <c r="W138" s="147">
        <f t="shared" si="48"/>
        <v>164.516129</v>
      </c>
      <c r="X138" s="147">
        <f t="shared" si="48"/>
        <v>172.7419355</v>
      </c>
      <c r="Y138" s="147">
        <f t="shared" si="48"/>
        <v>180.9677419</v>
      </c>
      <c r="Z138" s="147">
        <f t="shared" si="48"/>
        <v>189.1935484</v>
      </c>
      <c r="AA138" s="147">
        <f t="shared" si="48"/>
        <v>197.4193548</v>
      </c>
      <c r="AB138" s="147">
        <f t="shared" si="48"/>
        <v>205.6451613</v>
      </c>
      <c r="AC138" s="147">
        <f t="shared" si="48"/>
        <v>213.8709677</v>
      </c>
      <c r="AD138" s="147">
        <f t="shared" si="48"/>
        <v>222.0967742</v>
      </c>
      <c r="AE138" s="147">
        <f t="shared" si="48"/>
        <v>230.3225806</v>
      </c>
      <c r="AF138" s="147">
        <f t="shared" si="48"/>
        <v>238.5483871</v>
      </c>
      <c r="AG138" s="147">
        <f t="shared" si="48"/>
        <v>246.7741935</v>
      </c>
      <c r="AH138" s="147">
        <f t="shared" si="48"/>
        <v>255</v>
      </c>
    </row>
    <row r="139">
      <c r="C139" s="56" t="s">
        <v>971</v>
      </c>
      <c r="D139" s="147">
        <f t="shared" ref="D139:AH139" si="49">sum(D71:D76)</f>
        <v>0</v>
      </c>
      <c r="E139" s="147">
        <f t="shared" si="49"/>
        <v>6</v>
      </c>
      <c r="F139" s="147">
        <f t="shared" si="49"/>
        <v>6</v>
      </c>
      <c r="G139" s="147">
        <f t="shared" si="49"/>
        <v>6</v>
      </c>
      <c r="H139" s="147">
        <f t="shared" si="49"/>
        <v>6</v>
      </c>
      <c r="I139" s="147">
        <f t="shared" si="49"/>
        <v>6</v>
      </c>
      <c r="J139" s="147">
        <f t="shared" si="49"/>
        <v>6</v>
      </c>
      <c r="K139" s="147">
        <f t="shared" si="49"/>
        <v>6</v>
      </c>
      <c r="L139" s="147">
        <f t="shared" si="49"/>
        <v>6</v>
      </c>
      <c r="M139" s="147">
        <f t="shared" si="49"/>
        <v>6</v>
      </c>
      <c r="N139" s="147">
        <f t="shared" si="49"/>
        <v>6</v>
      </c>
      <c r="O139" s="147">
        <f t="shared" si="49"/>
        <v>6</v>
      </c>
      <c r="P139" s="147">
        <f t="shared" si="49"/>
        <v>6</v>
      </c>
      <c r="Q139" s="147">
        <f t="shared" si="49"/>
        <v>6</v>
      </c>
      <c r="R139" s="147">
        <f t="shared" si="49"/>
        <v>68</v>
      </c>
      <c r="S139" s="147">
        <f t="shared" si="49"/>
        <v>68</v>
      </c>
      <c r="T139" s="147">
        <f t="shared" si="49"/>
        <v>68</v>
      </c>
      <c r="U139" s="147">
        <f t="shared" si="49"/>
        <v>89</v>
      </c>
      <c r="V139" s="147">
        <f t="shared" si="49"/>
        <v>89</v>
      </c>
      <c r="W139" s="147">
        <f t="shared" si="49"/>
        <v>89</v>
      </c>
      <c r="X139" s="147">
        <f t="shared" si="49"/>
        <v>89</v>
      </c>
      <c r="Y139" s="147">
        <f t="shared" si="49"/>
        <v>89</v>
      </c>
      <c r="Z139" s="147">
        <f t="shared" si="49"/>
        <v>89</v>
      </c>
      <c r="AA139" s="147">
        <f t="shared" si="49"/>
        <v>89</v>
      </c>
      <c r="AB139" s="147">
        <f t="shared" si="49"/>
        <v>110</v>
      </c>
      <c r="AC139" s="147">
        <f t="shared" si="49"/>
        <v>110</v>
      </c>
      <c r="AD139" s="147">
        <f t="shared" si="49"/>
        <v>110</v>
      </c>
      <c r="AE139" s="147">
        <f t="shared" si="49"/>
        <v>110</v>
      </c>
      <c r="AF139" s="147">
        <f t="shared" si="49"/>
        <v>110</v>
      </c>
      <c r="AG139" s="147">
        <f t="shared" si="49"/>
        <v>110</v>
      </c>
      <c r="AH139" s="147">
        <f t="shared" si="49"/>
        <v>110</v>
      </c>
    </row>
    <row r="140">
      <c r="C140" s="56" t="s">
        <v>972</v>
      </c>
      <c r="D140" s="147">
        <f t="shared" ref="D140:AH140" si="50">sum(D52:D55)</f>
        <v>11.77419355</v>
      </c>
      <c r="E140" s="147">
        <f t="shared" si="50"/>
        <v>23.5483871</v>
      </c>
      <c r="F140" s="147">
        <f t="shared" si="50"/>
        <v>35.32258065</v>
      </c>
      <c r="G140" s="147">
        <f t="shared" si="50"/>
        <v>47.09677419</v>
      </c>
      <c r="H140" s="147">
        <f t="shared" si="50"/>
        <v>58.87096774</v>
      </c>
      <c r="I140" s="147">
        <f t="shared" si="50"/>
        <v>70.64516129</v>
      </c>
      <c r="J140" s="147">
        <f t="shared" si="50"/>
        <v>82.41935484</v>
      </c>
      <c r="K140" s="147">
        <f t="shared" si="50"/>
        <v>94.19354839</v>
      </c>
      <c r="L140" s="147">
        <f t="shared" si="50"/>
        <v>105.9677419</v>
      </c>
      <c r="M140" s="147">
        <f t="shared" si="50"/>
        <v>117.7419355</v>
      </c>
      <c r="N140" s="147">
        <f t="shared" si="50"/>
        <v>129.516129</v>
      </c>
      <c r="O140" s="147">
        <f t="shared" si="50"/>
        <v>141.2903226</v>
      </c>
      <c r="P140" s="147">
        <f t="shared" si="50"/>
        <v>153.0645161</v>
      </c>
      <c r="Q140" s="147">
        <f t="shared" si="50"/>
        <v>164.8387097</v>
      </c>
      <c r="R140" s="147">
        <f t="shared" si="50"/>
        <v>176.6129032</v>
      </c>
      <c r="S140" s="147">
        <f t="shared" si="50"/>
        <v>188.3870968</v>
      </c>
      <c r="T140" s="147">
        <f t="shared" si="50"/>
        <v>200.1612903</v>
      </c>
      <c r="U140" s="147">
        <f t="shared" si="50"/>
        <v>211.9354839</v>
      </c>
      <c r="V140" s="147">
        <f t="shared" si="50"/>
        <v>223.7096774</v>
      </c>
      <c r="W140" s="147">
        <f t="shared" si="50"/>
        <v>235.483871</v>
      </c>
      <c r="X140" s="147">
        <f t="shared" si="50"/>
        <v>247.2580645</v>
      </c>
      <c r="Y140" s="147">
        <f t="shared" si="50"/>
        <v>259.0322581</v>
      </c>
      <c r="Z140" s="147">
        <f t="shared" si="50"/>
        <v>270.8064516</v>
      </c>
      <c r="AA140" s="147">
        <f t="shared" si="50"/>
        <v>282.5806452</v>
      </c>
      <c r="AB140" s="147">
        <f t="shared" si="50"/>
        <v>294.3548387</v>
      </c>
      <c r="AC140" s="147">
        <f t="shared" si="50"/>
        <v>306.1290323</v>
      </c>
      <c r="AD140" s="147">
        <f t="shared" si="50"/>
        <v>317.9032258</v>
      </c>
      <c r="AE140" s="147">
        <f t="shared" si="50"/>
        <v>329.6774194</v>
      </c>
      <c r="AF140" s="147">
        <f t="shared" si="50"/>
        <v>341.4516129</v>
      </c>
      <c r="AG140" s="147">
        <f t="shared" si="50"/>
        <v>353.2258065</v>
      </c>
      <c r="AH140" s="147">
        <f t="shared" si="50"/>
        <v>365</v>
      </c>
    </row>
    <row r="141">
      <c r="C141" s="56" t="s">
        <v>973</v>
      </c>
      <c r="D141" s="147">
        <f t="shared" ref="D141:AH141" si="51">sum(D80:D83)</f>
        <v>131</v>
      </c>
      <c r="E141" s="147">
        <f t="shared" si="51"/>
        <v>559.67</v>
      </c>
      <c r="F141" s="147">
        <f t="shared" si="51"/>
        <v>559.67</v>
      </c>
      <c r="G141" s="147">
        <f t="shared" si="51"/>
        <v>559.67</v>
      </c>
      <c r="H141" s="147">
        <f t="shared" si="51"/>
        <v>559.67</v>
      </c>
      <c r="I141" s="147">
        <f t="shared" si="51"/>
        <v>559.67</v>
      </c>
      <c r="J141" s="147">
        <f t="shared" si="51"/>
        <v>559.67</v>
      </c>
      <c r="K141" s="147">
        <f t="shared" si="51"/>
        <v>559.67</v>
      </c>
      <c r="L141" s="147">
        <f t="shared" si="51"/>
        <v>559.67</v>
      </c>
      <c r="M141" s="147">
        <f t="shared" si="51"/>
        <v>559.67</v>
      </c>
      <c r="N141" s="147">
        <f t="shared" si="51"/>
        <v>559.67</v>
      </c>
      <c r="O141" s="147">
        <f t="shared" si="51"/>
        <v>559.67</v>
      </c>
      <c r="P141" s="147">
        <f t="shared" si="51"/>
        <v>559.67</v>
      </c>
      <c r="Q141" s="147">
        <f t="shared" si="51"/>
        <v>559.67</v>
      </c>
      <c r="R141" s="147">
        <f t="shared" si="51"/>
        <v>559.67</v>
      </c>
      <c r="S141" s="147">
        <f t="shared" si="51"/>
        <v>559.67</v>
      </c>
      <c r="T141" s="147">
        <f t="shared" si="51"/>
        <v>576.67</v>
      </c>
      <c r="U141" s="147">
        <f t="shared" si="51"/>
        <v>576.67</v>
      </c>
      <c r="V141" s="147">
        <f t="shared" si="51"/>
        <v>576.67</v>
      </c>
      <c r="W141" s="147">
        <f t="shared" si="51"/>
        <v>576.67</v>
      </c>
      <c r="X141" s="147">
        <f t="shared" si="51"/>
        <v>576.67</v>
      </c>
      <c r="Y141" s="147">
        <f t="shared" si="51"/>
        <v>614.67</v>
      </c>
      <c r="Z141" s="147">
        <f t="shared" si="51"/>
        <v>614.67</v>
      </c>
      <c r="AA141" s="147">
        <f t="shared" si="51"/>
        <v>617.67</v>
      </c>
      <c r="AB141" s="147">
        <f t="shared" si="51"/>
        <v>617.67</v>
      </c>
      <c r="AC141" s="147">
        <f t="shared" si="51"/>
        <v>617.67</v>
      </c>
      <c r="AD141" s="147">
        <f t="shared" si="51"/>
        <v>650.67</v>
      </c>
      <c r="AE141" s="147">
        <f t="shared" si="51"/>
        <v>650.67</v>
      </c>
      <c r="AF141" s="147">
        <f t="shared" si="51"/>
        <v>650.67</v>
      </c>
      <c r="AG141" s="147">
        <f t="shared" si="51"/>
        <v>657.67</v>
      </c>
      <c r="AH141" s="147">
        <f t="shared" si="51"/>
        <v>657.67</v>
      </c>
    </row>
    <row r="142"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</row>
    <row r="143"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</row>
    <row r="144">
      <c r="C144" s="78" t="s">
        <v>81</v>
      </c>
      <c r="D144" s="11">
        <f t="shared" ref="D144:AH144" si="52">D137</f>
        <v>1</v>
      </c>
      <c r="E144" s="11">
        <f t="shared" si="52"/>
        <v>2</v>
      </c>
      <c r="F144" s="11">
        <f t="shared" si="52"/>
        <v>3</v>
      </c>
      <c r="G144" s="11">
        <f t="shared" si="52"/>
        <v>4</v>
      </c>
      <c r="H144" s="11">
        <f t="shared" si="52"/>
        <v>5</v>
      </c>
      <c r="I144" s="11">
        <f t="shared" si="52"/>
        <v>6</v>
      </c>
      <c r="J144" s="11">
        <f t="shared" si="52"/>
        <v>7</v>
      </c>
      <c r="K144" s="11">
        <f t="shared" si="52"/>
        <v>8</v>
      </c>
      <c r="L144" s="11">
        <f t="shared" si="52"/>
        <v>9</v>
      </c>
      <c r="M144" s="11">
        <f t="shared" si="52"/>
        <v>10</v>
      </c>
      <c r="N144" s="11">
        <f t="shared" si="52"/>
        <v>11</v>
      </c>
      <c r="O144" s="11">
        <f t="shared" si="52"/>
        <v>12</v>
      </c>
      <c r="P144" s="11">
        <f t="shared" si="52"/>
        <v>13</v>
      </c>
      <c r="Q144" s="11">
        <f t="shared" si="52"/>
        <v>14</v>
      </c>
      <c r="R144" s="11">
        <f t="shared" si="52"/>
        <v>15</v>
      </c>
      <c r="S144" s="11">
        <f t="shared" si="52"/>
        <v>16</v>
      </c>
      <c r="T144" s="11">
        <f t="shared" si="52"/>
        <v>17</v>
      </c>
      <c r="U144" s="11">
        <f t="shared" si="52"/>
        <v>18</v>
      </c>
      <c r="V144" s="11">
        <f t="shared" si="52"/>
        <v>19</v>
      </c>
      <c r="W144" s="11">
        <f t="shared" si="52"/>
        <v>20</v>
      </c>
      <c r="X144" s="11">
        <f t="shared" si="52"/>
        <v>21</v>
      </c>
      <c r="Y144" s="11">
        <f t="shared" si="52"/>
        <v>22</v>
      </c>
      <c r="Z144" s="11">
        <f t="shared" si="52"/>
        <v>23</v>
      </c>
      <c r="AA144" s="11">
        <f t="shared" si="52"/>
        <v>24</v>
      </c>
      <c r="AB144" s="11">
        <f t="shared" si="52"/>
        <v>25</v>
      </c>
      <c r="AC144" s="11">
        <f t="shared" si="52"/>
        <v>26</v>
      </c>
      <c r="AD144" s="11">
        <f t="shared" si="52"/>
        <v>27</v>
      </c>
      <c r="AE144" s="11">
        <f t="shared" si="52"/>
        <v>28</v>
      </c>
      <c r="AF144" s="11">
        <f t="shared" si="52"/>
        <v>29</v>
      </c>
      <c r="AG144" s="11">
        <f t="shared" si="52"/>
        <v>30</v>
      </c>
      <c r="AH144" s="11">
        <f t="shared" si="52"/>
        <v>31</v>
      </c>
    </row>
    <row r="145">
      <c r="C145" s="78" t="s">
        <v>974</v>
      </c>
      <c r="D145" s="147">
        <f t="shared" ref="D145:AH145" si="53">SUM(D49:D51)</f>
        <v>14.70322581</v>
      </c>
      <c r="E145" s="147">
        <f t="shared" si="53"/>
        <v>29.40645161</v>
      </c>
      <c r="F145" s="147">
        <f t="shared" si="53"/>
        <v>44.10967742</v>
      </c>
      <c r="G145" s="147">
        <f t="shared" si="53"/>
        <v>58.81290323</v>
      </c>
      <c r="H145" s="147">
        <f t="shared" si="53"/>
        <v>73.51612903</v>
      </c>
      <c r="I145" s="147">
        <f t="shared" si="53"/>
        <v>88.21935484</v>
      </c>
      <c r="J145" s="147">
        <f t="shared" si="53"/>
        <v>102.9225806</v>
      </c>
      <c r="K145" s="147">
        <f t="shared" si="53"/>
        <v>117.6258065</v>
      </c>
      <c r="L145" s="147">
        <f t="shared" si="53"/>
        <v>132.3290323</v>
      </c>
      <c r="M145" s="147">
        <f t="shared" si="53"/>
        <v>147.0322581</v>
      </c>
      <c r="N145" s="147">
        <f t="shared" si="53"/>
        <v>161.7354839</v>
      </c>
      <c r="O145" s="147">
        <f t="shared" si="53"/>
        <v>176.4387097</v>
      </c>
      <c r="P145" s="147">
        <f t="shared" si="53"/>
        <v>191.1419355</v>
      </c>
      <c r="Q145" s="147">
        <f t="shared" si="53"/>
        <v>205.8451613</v>
      </c>
      <c r="R145" s="147">
        <f t="shared" si="53"/>
        <v>220.5483871</v>
      </c>
      <c r="S145" s="147">
        <f t="shared" si="53"/>
        <v>235.2516129</v>
      </c>
      <c r="T145" s="147">
        <f t="shared" si="53"/>
        <v>249.9548387</v>
      </c>
      <c r="U145" s="147">
        <f t="shared" si="53"/>
        <v>264.6580645</v>
      </c>
      <c r="V145" s="147">
        <f t="shared" si="53"/>
        <v>279.3612903</v>
      </c>
      <c r="W145" s="147">
        <f t="shared" si="53"/>
        <v>294.0645161</v>
      </c>
      <c r="X145" s="147">
        <f t="shared" si="53"/>
        <v>308.7677419</v>
      </c>
      <c r="Y145" s="147">
        <f t="shared" si="53"/>
        <v>323.4709677</v>
      </c>
      <c r="Z145" s="147">
        <f t="shared" si="53"/>
        <v>338.1741935</v>
      </c>
      <c r="AA145" s="147">
        <f t="shared" si="53"/>
        <v>352.8774194</v>
      </c>
      <c r="AB145" s="147">
        <f t="shared" si="53"/>
        <v>367.5806452</v>
      </c>
      <c r="AC145" s="147">
        <f t="shared" si="53"/>
        <v>382.283871</v>
      </c>
      <c r="AD145" s="147">
        <f t="shared" si="53"/>
        <v>396.9870968</v>
      </c>
      <c r="AE145" s="147">
        <f t="shared" si="53"/>
        <v>411.6903226</v>
      </c>
      <c r="AF145" s="147">
        <f t="shared" si="53"/>
        <v>426.3935484</v>
      </c>
      <c r="AG145" s="147">
        <f t="shared" si="53"/>
        <v>441.0967742</v>
      </c>
      <c r="AH145" s="147">
        <f t="shared" si="53"/>
        <v>455.8</v>
      </c>
    </row>
    <row r="146">
      <c r="C146" s="78" t="s">
        <v>975</v>
      </c>
      <c r="D146" s="147">
        <f t="shared" ref="D146:AH146" si="54">sum(D77:D79)</f>
        <v>0</v>
      </c>
      <c r="E146" s="147">
        <f t="shared" si="54"/>
        <v>0</v>
      </c>
      <c r="F146" s="147">
        <f t="shared" si="54"/>
        <v>0</v>
      </c>
      <c r="G146" s="147">
        <f t="shared" si="54"/>
        <v>0</v>
      </c>
      <c r="H146" s="147">
        <f t="shared" si="54"/>
        <v>0</v>
      </c>
      <c r="I146" s="147">
        <f t="shared" si="54"/>
        <v>0</v>
      </c>
      <c r="J146" s="147">
        <f t="shared" si="54"/>
        <v>0</v>
      </c>
      <c r="K146" s="147">
        <f t="shared" si="54"/>
        <v>0</v>
      </c>
      <c r="L146" s="147">
        <f t="shared" si="54"/>
        <v>0</v>
      </c>
      <c r="M146" s="147">
        <f t="shared" si="54"/>
        <v>52</v>
      </c>
      <c r="N146" s="147">
        <f t="shared" si="54"/>
        <v>52</v>
      </c>
      <c r="O146" s="147">
        <f t="shared" si="54"/>
        <v>52</v>
      </c>
      <c r="P146" s="147">
        <f t="shared" si="54"/>
        <v>52</v>
      </c>
      <c r="Q146" s="147">
        <f t="shared" si="54"/>
        <v>55</v>
      </c>
      <c r="R146" s="147">
        <f t="shared" si="54"/>
        <v>55</v>
      </c>
      <c r="S146" s="147">
        <f t="shared" si="54"/>
        <v>55</v>
      </c>
      <c r="T146" s="147">
        <f t="shared" si="54"/>
        <v>55</v>
      </c>
      <c r="U146" s="147">
        <f t="shared" si="54"/>
        <v>102</v>
      </c>
      <c r="V146" s="147">
        <f t="shared" si="54"/>
        <v>102</v>
      </c>
      <c r="W146" s="147">
        <f t="shared" si="54"/>
        <v>102</v>
      </c>
      <c r="X146" s="147">
        <f t="shared" si="54"/>
        <v>105</v>
      </c>
      <c r="Y146" s="147">
        <f t="shared" si="54"/>
        <v>105</v>
      </c>
      <c r="Z146" s="147">
        <f t="shared" si="54"/>
        <v>105</v>
      </c>
      <c r="AA146" s="147">
        <f t="shared" si="54"/>
        <v>105</v>
      </c>
      <c r="AB146" s="147">
        <f t="shared" si="54"/>
        <v>158</v>
      </c>
      <c r="AC146" s="147">
        <f t="shared" si="54"/>
        <v>158</v>
      </c>
      <c r="AD146" s="147">
        <f t="shared" si="54"/>
        <v>158</v>
      </c>
      <c r="AE146" s="147">
        <f t="shared" si="54"/>
        <v>241</v>
      </c>
      <c r="AF146" s="147">
        <f t="shared" si="54"/>
        <v>241</v>
      </c>
      <c r="AG146" s="147">
        <f t="shared" si="54"/>
        <v>241</v>
      </c>
      <c r="AH146" s="147">
        <f t="shared" si="54"/>
        <v>291</v>
      </c>
    </row>
    <row r="147">
      <c r="C147" s="78" t="s">
        <v>976</v>
      </c>
      <c r="D147" s="147">
        <f t="shared" ref="D147:AH147" si="55">sum(D41:D42)</f>
        <v>5.483870968</v>
      </c>
      <c r="E147" s="147">
        <f t="shared" si="55"/>
        <v>10.96774194</v>
      </c>
      <c r="F147" s="147">
        <f t="shared" si="55"/>
        <v>16.4516129</v>
      </c>
      <c r="G147" s="147">
        <f t="shared" si="55"/>
        <v>21.93548387</v>
      </c>
      <c r="H147" s="147">
        <f t="shared" si="55"/>
        <v>27.41935484</v>
      </c>
      <c r="I147" s="147">
        <f t="shared" si="55"/>
        <v>32.90322581</v>
      </c>
      <c r="J147" s="147">
        <f t="shared" si="55"/>
        <v>38.38709677</v>
      </c>
      <c r="K147" s="147">
        <f t="shared" si="55"/>
        <v>43.87096774</v>
      </c>
      <c r="L147" s="147">
        <f t="shared" si="55"/>
        <v>49.35483871</v>
      </c>
      <c r="M147" s="147">
        <f t="shared" si="55"/>
        <v>54.83870968</v>
      </c>
      <c r="N147" s="147">
        <f t="shared" si="55"/>
        <v>60.32258065</v>
      </c>
      <c r="O147" s="147">
        <f t="shared" si="55"/>
        <v>65.80645161</v>
      </c>
      <c r="P147" s="147">
        <f t="shared" si="55"/>
        <v>71.29032258</v>
      </c>
      <c r="Q147" s="147">
        <f t="shared" si="55"/>
        <v>76.77419355</v>
      </c>
      <c r="R147" s="147">
        <f t="shared" si="55"/>
        <v>82.25806452</v>
      </c>
      <c r="S147" s="147">
        <f t="shared" si="55"/>
        <v>87.74193548</v>
      </c>
      <c r="T147" s="147">
        <f t="shared" si="55"/>
        <v>93.22580645</v>
      </c>
      <c r="U147" s="147">
        <f t="shared" si="55"/>
        <v>98.70967742</v>
      </c>
      <c r="V147" s="147">
        <f t="shared" si="55"/>
        <v>104.1935484</v>
      </c>
      <c r="W147" s="147">
        <f t="shared" si="55"/>
        <v>109.6774194</v>
      </c>
      <c r="X147" s="147">
        <f t="shared" si="55"/>
        <v>115.1612903</v>
      </c>
      <c r="Y147" s="147">
        <f t="shared" si="55"/>
        <v>120.6451613</v>
      </c>
      <c r="Z147" s="147">
        <f t="shared" si="55"/>
        <v>126.1290323</v>
      </c>
      <c r="AA147" s="147">
        <f t="shared" si="55"/>
        <v>131.6129032</v>
      </c>
      <c r="AB147" s="147">
        <f t="shared" si="55"/>
        <v>137.0967742</v>
      </c>
      <c r="AC147" s="147">
        <f t="shared" si="55"/>
        <v>142.5806452</v>
      </c>
      <c r="AD147" s="147">
        <f t="shared" si="55"/>
        <v>148.0645161</v>
      </c>
      <c r="AE147" s="147">
        <f t="shared" si="55"/>
        <v>153.5483871</v>
      </c>
      <c r="AF147" s="147">
        <f t="shared" si="55"/>
        <v>159.0322581</v>
      </c>
      <c r="AG147" s="147">
        <f t="shared" si="55"/>
        <v>164.516129</v>
      </c>
      <c r="AH147" s="147">
        <f t="shared" si="55"/>
        <v>170</v>
      </c>
    </row>
    <row r="148">
      <c r="C148" s="78" t="s">
        <v>977</v>
      </c>
      <c r="D148" s="147">
        <f t="shared" ref="D148:AH148" si="56">sum(D69:D70)</f>
        <v>0</v>
      </c>
      <c r="E148" s="147">
        <f t="shared" si="56"/>
        <v>0</v>
      </c>
      <c r="F148" s="147">
        <f t="shared" si="56"/>
        <v>0</v>
      </c>
      <c r="G148" s="147">
        <f t="shared" si="56"/>
        <v>0</v>
      </c>
      <c r="H148" s="147">
        <f t="shared" si="56"/>
        <v>0</v>
      </c>
      <c r="I148" s="147">
        <f t="shared" si="56"/>
        <v>0</v>
      </c>
      <c r="J148" s="147">
        <f t="shared" si="56"/>
        <v>3</v>
      </c>
      <c r="K148" s="147">
        <f t="shared" si="56"/>
        <v>9</v>
      </c>
      <c r="L148" s="147">
        <f t="shared" si="56"/>
        <v>12</v>
      </c>
      <c r="M148" s="147">
        <f t="shared" si="56"/>
        <v>12</v>
      </c>
      <c r="N148" s="147">
        <f t="shared" si="56"/>
        <v>12</v>
      </c>
      <c r="O148" s="147">
        <f t="shared" si="56"/>
        <v>12</v>
      </c>
      <c r="P148" s="147">
        <f t="shared" si="56"/>
        <v>12</v>
      </c>
      <c r="Q148" s="147">
        <f t="shared" si="56"/>
        <v>12</v>
      </c>
      <c r="R148" s="147">
        <f t="shared" si="56"/>
        <v>12</v>
      </c>
      <c r="S148" s="147">
        <f t="shared" si="56"/>
        <v>12</v>
      </c>
      <c r="T148" s="147">
        <f t="shared" si="56"/>
        <v>12</v>
      </c>
      <c r="U148" s="147">
        <f t="shared" si="56"/>
        <v>17</v>
      </c>
      <c r="V148" s="147">
        <f t="shared" si="56"/>
        <v>17</v>
      </c>
      <c r="W148" s="147">
        <f t="shared" si="56"/>
        <v>17</v>
      </c>
      <c r="X148" s="147">
        <f t="shared" si="56"/>
        <v>17</v>
      </c>
      <c r="Y148" s="147">
        <f t="shared" si="56"/>
        <v>20</v>
      </c>
      <c r="Z148" s="147">
        <f t="shared" si="56"/>
        <v>20</v>
      </c>
      <c r="AA148" s="147">
        <f t="shared" si="56"/>
        <v>20</v>
      </c>
      <c r="AB148" s="147">
        <f t="shared" si="56"/>
        <v>20</v>
      </c>
      <c r="AC148" s="147">
        <f t="shared" si="56"/>
        <v>20</v>
      </c>
      <c r="AD148" s="147">
        <f t="shared" si="56"/>
        <v>20</v>
      </c>
      <c r="AE148" s="147">
        <f t="shared" si="56"/>
        <v>20</v>
      </c>
      <c r="AF148" s="147">
        <f t="shared" si="56"/>
        <v>20</v>
      </c>
      <c r="AG148" s="147">
        <f t="shared" si="56"/>
        <v>20</v>
      </c>
      <c r="AH148" s="147">
        <f t="shared" si="56"/>
        <v>20</v>
      </c>
    </row>
    <row r="149"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</row>
    <row r="150"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</row>
    <row r="151"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</row>
    <row r="152"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</row>
    <row r="153"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</row>
    <row r="154"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</row>
    <row r="155"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</row>
    <row r="156"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</row>
    <row r="157"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</row>
    <row r="158"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</row>
    <row r="159"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</row>
    <row r="160"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</row>
    <row r="161"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</row>
    <row r="165"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</row>
    <row r="166"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</row>
    <row r="167"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</row>
    <row r="168"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</row>
    <row r="170"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</row>
    <row r="171"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</row>
    <row r="172"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</row>
    <row r="173"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</row>
    <row r="174"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</row>
    <row r="177"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</row>
    <row r="178"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</row>
    <row r="179"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</row>
    <row r="180"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</row>
    <row r="181"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</row>
    <row r="182"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>
      <c r="C188" s="78" t="s">
        <v>81</v>
      </c>
      <c r="D188" s="11">
        <f t="shared" ref="D188:AH188" si="57">D144</f>
        <v>1</v>
      </c>
      <c r="E188" s="11">
        <f t="shared" si="57"/>
        <v>2</v>
      </c>
      <c r="F188" s="11">
        <f t="shared" si="57"/>
        <v>3</v>
      </c>
      <c r="G188" s="11">
        <f t="shared" si="57"/>
        <v>4</v>
      </c>
      <c r="H188" s="11">
        <f t="shared" si="57"/>
        <v>5</v>
      </c>
      <c r="I188" s="11">
        <f t="shared" si="57"/>
        <v>6</v>
      </c>
      <c r="J188" s="11">
        <f t="shared" si="57"/>
        <v>7</v>
      </c>
      <c r="K188" s="11">
        <f t="shared" si="57"/>
        <v>8</v>
      </c>
      <c r="L188" s="11">
        <f t="shared" si="57"/>
        <v>9</v>
      </c>
      <c r="M188" s="11">
        <f t="shared" si="57"/>
        <v>10</v>
      </c>
      <c r="N188" s="11">
        <f t="shared" si="57"/>
        <v>11</v>
      </c>
      <c r="O188" s="11">
        <f t="shared" si="57"/>
        <v>12</v>
      </c>
      <c r="P188" s="11">
        <f t="shared" si="57"/>
        <v>13</v>
      </c>
      <c r="Q188" s="11">
        <f t="shared" si="57"/>
        <v>14</v>
      </c>
      <c r="R188" s="11">
        <f t="shared" si="57"/>
        <v>15</v>
      </c>
      <c r="S188" s="11">
        <f t="shared" si="57"/>
        <v>16</v>
      </c>
      <c r="T188" s="11">
        <f t="shared" si="57"/>
        <v>17</v>
      </c>
      <c r="U188" s="11">
        <f t="shared" si="57"/>
        <v>18</v>
      </c>
      <c r="V188" s="11">
        <f t="shared" si="57"/>
        <v>19</v>
      </c>
      <c r="W188" s="11">
        <f t="shared" si="57"/>
        <v>20</v>
      </c>
      <c r="X188" s="11">
        <f t="shared" si="57"/>
        <v>21</v>
      </c>
      <c r="Y188" s="11">
        <f t="shared" si="57"/>
        <v>22</v>
      </c>
      <c r="Z188" s="11">
        <f t="shared" si="57"/>
        <v>23</v>
      </c>
      <c r="AA188" s="11">
        <f t="shared" si="57"/>
        <v>24</v>
      </c>
      <c r="AB188" s="11">
        <f t="shared" si="57"/>
        <v>25</v>
      </c>
      <c r="AC188" s="11">
        <f t="shared" si="57"/>
        <v>26</v>
      </c>
      <c r="AD188" s="11">
        <f t="shared" si="57"/>
        <v>27</v>
      </c>
      <c r="AE188" s="11">
        <f t="shared" si="57"/>
        <v>28</v>
      </c>
      <c r="AF188" s="11">
        <f t="shared" si="57"/>
        <v>29</v>
      </c>
      <c r="AG188" s="11">
        <f t="shared" si="57"/>
        <v>30</v>
      </c>
      <c r="AH188" s="11">
        <f t="shared" si="57"/>
        <v>31</v>
      </c>
      <c r="AI188" s="11"/>
    </row>
    <row r="189">
      <c r="C189" s="56" t="s">
        <v>978</v>
      </c>
      <c r="D189" s="147">
        <f t="shared" ref="D189:AH189" si="58">sum(D56)</f>
        <v>101.7354839</v>
      </c>
      <c r="E189" s="147">
        <f t="shared" si="58"/>
        <v>203.4709677</v>
      </c>
      <c r="F189" s="147">
        <f t="shared" si="58"/>
        <v>305.2064516</v>
      </c>
      <c r="G189" s="147">
        <f t="shared" si="58"/>
        <v>406.9419355</v>
      </c>
      <c r="H189" s="147">
        <f t="shared" si="58"/>
        <v>508.6774194</v>
      </c>
      <c r="I189" s="147">
        <f t="shared" si="58"/>
        <v>610.4129032</v>
      </c>
      <c r="J189" s="147">
        <f t="shared" si="58"/>
        <v>712.1483871</v>
      </c>
      <c r="K189" s="147">
        <f t="shared" si="58"/>
        <v>813.883871</v>
      </c>
      <c r="L189" s="147">
        <f t="shared" si="58"/>
        <v>915.6193548</v>
      </c>
      <c r="M189" s="147">
        <f t="shared" si="58"/>
        <v>1017.354839</v>
      </c>
      <c r="N189" s="147">
        <f t="shared" si="58"/>
        <v>1119.090323</v>
      </c>
      <c r="O189" s="147">
        <f t="shared" si="58"/>
        <v>1220.825806</v>
      </c>
      <c r="P189" s="147">
        <f t="shared" si="58"/>
        <v>1322.56129</v>
      </c>
      <c r="Q189" s="147">
        <f t="shared" si="58"/>
        <v>1424.296774</v>
      </c>
      <c r="R189" s="147">
        <f t="shared" si="58"/>
        <v>1526.032258</v>
      </c>
      <c r="S189" s="147">
        <f t="shared" si="58"/>
        <v>1627.767742</v>
      </c>
      <c r="T189" s="147">
        <f t="shared" si="58"/>
        <v>1729.503226</v>
      </c>
      <c r="U189" s="147">
        <f t="shared" si="58"/>
        <v>1831.23871</v>
      </c>
      <c r="V189" s="147">
        <f t="shared" si="58"/>
        <v>1932.974194</v>
      </c>
      <c r="W189" s="147">
        <f t="shared" si="58"/>
        <v>2034.709677</v>
      </c>
      <c r="X189" s="147">
        <f t="shared" si="58"/>
        <v>2136.445161</v>
      </c>
      <c r="Y189" s="147">
        <f t="shared" si="58"/>
        <v>2238.180645</v>
      </c>
      <c r="Z189" s="147">
        <f t="shared" si="58"/>
        <v>2339.916129</v>
      </c>
      <c r="AA189" s="147">
        <f t="shared" si="58"/>
        <v>2441.651613</v>
      </c>
      <c r="AB189" s="147">
        <f t="shared" si="58"/>
        <v>2543.387097</v>
      </c>
      <c r="AC189" s="147">
        <f t="shared" si="58"/>
        <v>2645.122581</v>
      </c>
      <c r="AD189" s="147">
        <f t="shared" si="58"/>
        <v>2746.858065</v>
      </c>
      <c r="AE189" s="147">
        <f t="shared" si="58"/>
        <v>2848.593548</v>
      </c>
      <c r="AF189" s="147">
        <f t="shared" si="58"/>
        <v>2950.329032</v>
      </c>
      <c r="AG189" s="147">
        <f t="shared" si="58"/>
        <v>3052.064516</v>
      </c>
      <c r="AH189" s="147">
        <f t="shared" si="58"/>
        <v>3153.8</v>
      </c>
      <c r="AI189" s="11"/>
    </row>
    <row r="190">
      <c r="C190" s="56" t="s">
        <v>979</v>
      </c>
      <c r="D190" s="147">
        <f t="shared" ref="D190:AH190" si="59">D84</f>
        <v>237</v>
      </c>
      <c r="E190" s="147">
        <f t="shared" si="59"/>
        <v>820.67</v>
      </c>
      <c r="F190" s="147">
        <f t="shared" si="59"/>
        <v>842.67</v>
      </c>
      <c r="G190" s="147">
        <f t="shared" si="59"/>
        <v>927.67</v>
      </c>
      <c r="H190" s="147">
        <f t="shared" si="59"/>
        <v>951.67</v>
      </c>
      <c r="I190" s="147">
        <f t="shared" si="59"/>
        <v>951.67</v>
      </c>
      <c r="J190" s="147">
        <f t="shared" si="59"/>
        <v>970.67</v>
      </c>
      <c r="K190" s="147">
        <f t="shared" si="59"/>
        <v>1042.67</v>
      </c>
      <c r="L190" s="147">
        <f t="shared" si="59"/>
        <v>1262.67</v>
      </c>
      <c r="M190" s="147">
        <f t="shared" si="59"/>
        <v>1341.67</v>
      </c>
      <c r="N190" s="147">
        <f t="shared" si="59"/>
        <v>1341.67</v>
      </c>
      <c r="O190" s="147">
        <f t="shared" si="59"/>
        <v>1341.67</v>
      </c>
      <c r="P190" s="147">
        <f t="shared" si="59"/>
        <v>1341.67</v>
      </c>
      <c r="Q190" s="147">
        <f t="shared" si="59"/>
        <v>1360.67</v>
      </c>
      <c r="R190" s="147">
        <f t="shared" si="59"/>
        <v>1686.67</v>
      </c>
      <c r="S190" s="147">
        <f t="shared" si="59"/>
        <v>1712.67</v>
      </c>
      <c r="T190" s="147">
        <f t="shared" si="59"/>
        <v>1799.67</v>
      </c>
      <c r="U190" s="147">
        <f t="shared" si="59"/>
        <v>1910.67</v>
      </c>
      <c r="V190" s="147">
        <f t="shared" si="59"/>
        <v>1910.67</v>
      </c>
      <c r="W190" s="147">
        <f t="shared" si="59"/>
        <v>1910.67</v>
      </c>
      <c r="X190" s="147">
        <f t="shared" si="59"/>
        <v>1929.67</v>
      </c>
      <c r="Y190" s="147">
        <f t="shared" si="59"/>
        <v>2000.67</v>
      </c>
      <c r="Z190" s="147">
        <f t="shared" si="59"/>
        <v>2030.67</v>
      </c>
      <c r="AA190" s="147">
        <f t="shared" si="59"/>
        <v>2156.67</v>
      </c>
      <c r="AB190" s="147">
        <f t="shared" si="59"/>
        <v>2291.67</v>
      </c>
      <c r="AC190" s="147">
        <f t="shared" si="59"/>
        <v>2291.67</v>
      </c>
      <c r="AD190" s="147">
        <f t="shared" si="59"/>
        <v>2333.67</v>
      </c>
      <c r="AE190" s="147">
        <f t="shared" si="59"/>
        <v>2432.67</v>
      </c>
      <c r="AF190" s="147">
        <f t="shared" si="59"/>
        <v>2665.67</v>
      </c>
      <c r="AG190" s="147">
        <f t="shared" si="59"/>
        <v>2728.67</v>
      </c>
      <c r="AH190" s="147">
        <f t="shared" si="59"/>
        <v>2778.67</v>
      </c>
      <c r="AI190" s="11"/>
    </row>
    <row r="191"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</row>
    <row r="192">
      <c r="C192" s="56" t="s">
        <v>980</v>
      </c>
      <c r="D192" s="223">
        <f>AI84/MAX(D193:AI193)</f>
        <v>0.8810546008</v>
      </c>
      <c r="E192" s="223">
        <f t="shared" ref="E192:AI192" si="60">D192</f>
        <v>0.8810546008</v>
      </c>
      <c r="F192" s="223">
        <f t="shared" si="60"/>
        <v>0.8810546008</v>
      </c>
      <c r="G192" s="223">
        <f t="shared" si="60"/>
        <v>0.8810546008</v>
      </c>
      <c r="H192" s="223">
        <f t="shared" si="60"/>
        <v>0.8810546008</v>
      </c>
      <c r="I192" s="223">
        <f t="shared" si="60"/>
        <v>0.8810546008</v>
      </c>
      <c r="J192" s="223">
        <f t="shared" si="60"/>
        <v>0.8810546008</v>
      </c>
      <c r="K192" s="223">
        <f t="shared" si="60"/>
        <v>0.8810546008</v>
      </c>
      <c r="L192" s="223">
        <f t="shared" si="60"/>
        <v>0.8810546008</v>
      </c>
      <c r="M192" s="223">
        <f t="shared" si="60"/>
        <v>0.8810546008</v>
      </c>
      <c r="N192" s="223">
        <f t="shared" si="60"/>
        <v>0.8810546008</v>
      </c>
      <c r="O192" s="223">
        <f t="shared" si="60"/>
        <v>0.8810546008</v>
      </c>
      <c r="P192" s="223">
        <f t="shared" si="60"/>
        <v>0.8810546008</v>
      </c>
      <c r="Q192" s="223">
        <f t="shared" si="60"/>
        <v>0.8810546008</v>
      </c>
      <c r="R192" s="223">
        <f t="shared" si="60"/>
        <v>0.8810546008</v>
      </c>
      <c r="S192" s="223">
        <f t="shared" si="60"/>
        <v>0.8810546008</v>
      </c>
      <c r="T192" s="223">
        <f t="shared" si="60"/>
        <v>0.8810546008</v>
      </c>
      <c r="U192" s="223">
        <f t="shared" si="60"/>
        <v>0.8810546008</v>
      </c>
      <c r="V192" s="223">
        <f t="shared" si="60"/>
        <v>0.8810546008</v>
      </c>
      <c r="W192" s="223">
        <f t="shared" si="60"/>
        <v>0.8810546008</v>
      </c>
      <c r="X192" s="223">
        <f t="shared" si="60"/>
        <v>0.8810546008</v>
      </c>
      <c r="Y192" s="223">
        <f t="shared" si="60"/>
        <v>0.8810546008</v>
      </c>
      <c r="Z192" s="223">
        <f t="shared" si="60"/>
        <v>0.8810546008</v>
      </c>
      <c r="AA192" s="223">
        <f t="shared" si="60"/>
        <v>0.8810546008</v>
      </c>
      <c r="AB192" s="223">
        <f t="shared" si="60"/>
        <v>0.8810546008</v>
      </c>
      <c r="AC192" s="223">
        <f t="shared" si="60"/>
        <v>0.8810546008</v>
      </c>
      <c r="AD192" s="223">
        <f t="shared" si="60"/>
        <v>0.8810546008</v>
      </c>
      <c r="AE192" s="223">
        <f t="shared" si="60"/>
        <v>0.8810546008</v>
      </c>
      <c r="AF192" s="223">
        <f t="shared" si="60"/>
        <v>0.8810546008</v>
      </c>
      <c r="AG192" s="223">
        <f t="shared" si="60"/>
        <v>0.8810546008</v>
      </c>
      <c r="AH192" s="223">
        <f t="shared" si="60"/>
        <v>0.8810546008</v>
      </c>
      <c r="AI192" s="223">
        <f t="shared" si="60"/>
        <v>0.8810546008</v>
      </c>
    </row>
    <row r="193">
      <c r="C193" s="56" t="s">
        <v>981</v>
      </c>
      <c r="D193" s="11">
        <f t="shared" ref="D193:AI193" si="61">if(D$188=$AJ$59,D56,0)</f>
        <v>0</v>
      </c>
      <c r="E193" s="11">
        <f t="shared" si="61"/>
        <v>0</v>
      </c>
      <c r="F193" s="11">
        <f t="shared" si="61"/>
        <v>0</v>
      </c>
      <c r="G193" s="11">
        <f t="shared" si="61"/>
        <v>0</v>
      </c>
      <c r="H193" s="11">
        <f t="shared" si="61"/>
        <v>0</v>
      </c>
      <c r="I193" s="11">
        <f t="shared" si="61"/>
        <v>0</v>
      </c>
      <c r="J193" s="11">
        <f t="shared" si="61"/>
        <v>0</v>
      </c>
      <c r="K193" s="11">
        <f t="shared" si="61"/>
        <v>0</v>
      </c>
      <c r="L193" s="11">
        <f t="shared" si="61"/>
        <v>0</v>
      </c>
      <c r="M193" s="11">
        <f t="shared" si="61"/>
        <v>0</v>
      </c>
      <c r="N193" s="11">
        <f t="shared" si="61"/>
        <v>0</v>
      </c>
      <c r="O193" s="11">
        <f t="shared" si="61"/>
        <v>0</v>
      </c>
      <c r="P193" s="11">
        <f t="shared" si="61"/>
        <v>0</v>
      </c>
      <c r="Q193" s="11">
        <f t="shared" si="61"/>
        <v>0</v>
      </c>
      <c r="R193" s="11">
        <f t="shared" si="61"/>
        <v>0</v>
      </c>
      <c r="S193" s="11">
        <f t="shared" si="61"/>
        <v>0</v>
      </c>
      <c r="T193" s="11">
        <f t="shared" si="61"/>
        <v>0</v>
      </c>
      <c r="U193" s="11">
        <f t="shared" si="61"/>
        <v>0</v>
      </c>
      <c r="V193" s="11">
        <f t="shared" si="61"/>
        <v>0</v>
      </c>
      <c r="W193" s="11">
        <f t="shared" si="61"/>
        <v>0</v>
      </c>
      <c r="X193" s="11">
        <f t="shared" si="61"/>
        <v>0</v>
      </c>
      <c r="Y193" s="11">
        <f t="shared" si="61"/>
        <v>0</v>
      </c>
      <c r="Z193" s="11">
        <f t="shared" si="61"/>
        <v>0</v>
      </c>
      <c r="AA193" s="11">
        <f t="shared" si="61"/>
        <v>0</v>
      </c>
      <c r="AB193" s="11">
        <f t="shared" si="61"/>
        <v>0</v>
      </c>
      <c r="AC193" s="11">
        <f t="shared" si="61"/>
        <v>0</v>
      </c>
      <c r="AD193" s="11">
        <f t="shared" si="61"/>
        <v>0</v>
      </c>
      <c r="AE193" s="11">
        <f t="shared" si="61"/>
        <v>0</v>
      </c>
      <c r="AF193" s="11">
        <f t="shared" si="61"/>
        <v>0</v>
      </c>
      <c r="AG193" s="11">
        <f t="shared" si="61"/>
        <v>0</v>
      </c>
      <c r="AH193" s="147">
        <f t="shared" si="61"/>
        <v>3153.8</v>
      </c>
      <c r="AI193" s="11">
        <f t="shared" si="61"/>
        <v>0</v>
      </c>
    </row>
    <row r="194"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</row>
    <row r="195"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</row>
    <row r="196"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</row>
    <row r="197"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</row>
    <row r="199"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</row>
    <row r="200"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</row>
    <row r="201"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</row>
    <row r="202"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</row>
    <row r="203"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</row>
    <row r="204"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</row>
    <row r="205"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</row>
    <row r="206"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</row>
    <row r="207"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</row>
    <row r="208"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</row>
    <row r="209"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</row>
    <row r="210"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</row>
    <row r="211"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</row>
    <row r="212"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</row>
    <row r="213"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</row>
    <row r="214">
      <c r="B214" s="15" t="s">
        <v>982</v>
      </c>
      <c r="C214" s="16" t="s">
        <v>81</v>
      </c>
      <c r="D214" s="16">
        <v>1.0</v>
      </c>
      <c r="E214" s="216">
        <f t="shared" ref="E214:AH214" si="62">D214+1</f>
        <v>2</v>
      </c>
      <c r="F214" s="216">
        <f t="shared" si="62"/>
        <v>3</v>
      </c>
      <c r="G214" s="216">
        <f t="shared" si="62"/>
        <v>4</v>
      </c>
      <c r="H214" s="216">
        <f t="shared" si="62"/>
        <v>5</v>
      </c>
      <c r="I214" s="216">
        <f t="shared" si="62"/>
        <v>6</v>
      </c>
      <c r="J214" s="216">
        <f t="shared" si="62"/>
        <v>7</v>
      </c>
      <c r="K214" s="216">
        <f t="shared" si="62"/>
        <v>8</v>
      </c>
      <c r="L214" s="216">
        <f t="shared" si="62"/>
        <v>9</v>
      </c>
      <c r="M214" s="216">
        <f t="shared" si="62"/>
        <v>10</v>
      </c>
      <c r="N214" s="216">
        <f t="shared" si="62"/>
        <v>11</v>
      </c>
      <c r="O214" s="216">
        <f t="shared" si="62"/>
        <v>12</v>
      </c>
      <c r="P214" s="216">
        <f t="shared" si="62"/>
        <v>13</v>
      </c>
      <c r="Q214" s="216">
        <f t="shared" si="62"/>
        <v>14</v>
      </c>
      <c r="R214" s="216">
        <f t="shared" si="62"/>
        <v>15</v>
      </c>
      <c r="S214" s="216">
        <f t="shared" si="62"/>
        <v>16</v>
      </c>
      <c r="T214" s="216">
        <f t="shared" si="62"/>
        <v>17</v>
      </c>
      <c r="U214" s="216">
        <f t="shared" si="62"/>
        <v>18</v>
      </c>
      <c r="V214" s="216">
        <f t="shared" si="62"/>
        <v>19</v>
      </c>
      <c r="W214" s="216">
        <f t="shared" si="62"/>
        <v>20</v>
      </c>
      <c r="X214" s="216">
        <f t="shared" si="62"/>
        <v>21</v>
      </c>
      <c r="Y214" s="216">
        <f t="shared" si="62"/>
        <v>22</v>
      </c>
      <c r="Z214" s="216">
        <f t="shared" si="62"/>
        <v>23</v>
      </c>
      <c r="AA214" s="216">
        <f t="shared" si="62"/>
        <v>24</v>
      </c>
      <c r="AB214" s="216">
        <f t="shared" si="62"/>
        <v>25</v>
      </c>
      <c r="AC214" s="216">
        <f t="shared" si="62"/>
        <v>26</v>
      </c>
      <c r="AD214" s="216">
        <f t="shared" si="62"/>
        <v>27</v>
      </c>
      <c r="AE214" s="216">
        <f t="shared" si="62"/>
        <v>28</v>
      </c>
      <c r="AF214" s="216">
        <f t="shared" si="62"/>
        <v>29</v>
      </c>
      <c r="AG214" s="216">
        <f t="shared" si="62"/>
        <v>30</v>
      </c>
      <c r="AH214" s="216">
        <f t="shared" si="62"/>
        <v>31</v>
      </c>
      <c r="AI214" s="15" t="s">
        <v>956</v>
      </c>
      <c r="AJ214" s="15" t="s">
        <v>983</v>
      </c>
    </row>
    <row r="215">
      <c r="B215" s="16" t="s">
        <v>3</v>
      </c>
      <c r="C215" s="16" t="s">
        <v>912</v>
      </c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M215" s="15" t="s">
        <v>82</v>
      </c>
      <c r="AN215" s="15" t="s">
        <v>83</v>
      </c>
    </row>
    <row r="216">
      <c r="B216" s="16" t="s">
        <v>915</v>
      </c>
      <c r="C216" s="16" t="s">
        <v>7</v>
      </c>
      <c r="D216" s="216"/>
      <c r="E216" s="216"/>
      <c r="F216" s="216"/>
      <c r="G216" s="216"/>
      <c r="H216" s="216"/>
      <c r="I216" s="216"/>
      <c r="J216" s="216"/>
      <c r="K216" s="216"/>
      <c r="L216" s="216"/>
      <c r="M216" s="216"/>
      <c r="N216" s="216"/>
      <c r="O216" s="216"/>
      <c r="P216" s="216"/>
      <c r="Q216" s="216"/>
      <c r="R216" s="216"/>
      <c r="S216" s="216"/>
      <c r="T216" s="216"/>
      <c r="U216" s="216"/>
      <c r="V216" s="216"/>
      <c r="W216" s="216"/>
      <c r="X216" s="216"/>
      <c r="Y216" s="216"/>
      <c r="Z216" s="216"/>
      <c r="AA216" s="216"/>
      <c r="AB216" s="216"/>
      <c r="AC216" s="216"/>
      <c r="AD216" s="216"/>
      <c r="AE216" s="216"/>
      <c r="AF216" s="216"/>
      <c r="AG216" s="216"/>
      <c r="AH216" s="216"/>
      <c r="AI216" s="218">
        <f t="shared" ref="AI216:AI239" si="64">SUM(D216:AH216)</f>
        <v>0</v>
      </c>
      <c r="AK216" s="16" t="s">
        <v>7</v>
      </c>
      <c r="AL216" s="16" t="s">
        <v>984</v>
      </c>
      <c r="AM216" s="17">
        <f>sum(D216:AH216, D217:AH217)</f>
        <v>-7</v>
      </c>
      <c r="AN216" s="17">
        <f>AJ217</f>
        <v>-7</v>
      </c>
    </row>
    <row r="217">
      <c r="B217" s="16" t="s">
        <v>915</v>
      </c>
      <c r="C217" s="16" t="s">
        <v>10</v>
      </c>
      <c r="D217" s="216">
        <f t="shared" ref="D217:AH217" si="63">if($AJ$59=D$214,D33-D61,0)</f>
        <v>0</v>
      </c>
      <c r="E217" s="216">
        <f t="shared" si="63"/>
        <v>0</v>
      </c>
      <c r="F217" s="216">
        <f t="shared" si="63"/>
        <v>0</v>
      </c>
      <c r="G217" s="216">
        <f t="shared" si="63"/>
        <v>0</v>
      </c>
      <c r="H217" s="216">
        <f t="shared" si="63"/>
        <v>0</v>
      </c>
      <c r="I217" s="216">
        <f t="shared" si="63"/>
        <v>0</v>
      </c>
      <c r="J217" s="216">
        <f t="shared" si="63"/>
        <v>0</v>
      </c>
      <c r="K217" s="216">
        <f t="shared" si="63"/>
        <v>0</v>
      </c>
      <c r="L217" s="216">
        <f t="shared" si="63"/>
        <v>0</v>
      </c>
      <c r="M217" s="216">
        <f t="shared" si="63"/>
        <v>0</v>
      </c>
      <c r="N217" s="216">
        <f t="shared" si="63"/>
        <v>0</v>
      </c>
      <c r="O217" s="216">
        <f t="shared" si="63"/>
        <v>0</v>
      </c>
      <c r="P217" s="216">
        <f t="shared" si="63"/>
        <v>0</v>
      </c>
      <c r="Q217" s="216">
        <f t="shared" si="63"/>
        <v>0</v>
      </c>
      <c r="R217" s="216">
        <f t="shared" si="63"/>
        <v>0</v>
      </c>
      <c r="S217" s="216">
        <f t="shared" si="63"/>
        <v>0</v>
      </c>
      <c r="T217" s="216">
        <f t="shared" si="63"/>
        <v>0</v>
      </c>
      <c r="U217" s="216">
        <f t="shared" si="63"/>
        <v>0</v>
      </c>
      <c r="V217" s="216">
        <f t="shared" si="63"/>
        <v>0</v>
      </c>
      <c r="W217" s="216">
        <f t="shared" si="63"/>
        <v>0</v>
      </c>
      <c r="X217" s="216">
        <f t="shared" si="63"/>
        <v>0</v>
      </c>
      <c r="Y217" s="216">
        <f t="shared" si="63"/>
        <v>0</v>
      </c>
      <c r="Z217" s="216">
        <f t="shared" si="63"/>
        <v>0</v>
      </c>
      <c r="AA217" s="216">
        <f t="shared" si="63"/>
        <v>0</v>
      </c>
      <c r="AB217" s="216">
        <f t="shared" si="63"/>
        <v>0</v>
      </c>
      <c r="AC217" s="216">
        <f t="shared" si="63"/>
        <v>0</v>
      </c>
      <c r="AD217" s="216">
        <f t="shared" si="63"/>
        <v>0</v>
      </c>
      <c r="AE217" s="216">
        <f t="shared" si="63"/>
        <v>0</v>
      </c>
      <c r="AF217" s="216">
        <f t="shared" si="63"/>
        <v>0</v>
      </c>
      <c r="AG217" s="216">
        <f t="shared" si="63"/>
        <v>0</v>
      </c>
      <c r="AH217" s="39">
        <f t="shared" si="63"/>
        <v>-7</v>
      </c>
      <c r="AI217" s="218">
        <f t="shared" si="64"/>
        <v>-7</v>
      </c>
      <c r="AJ217" s="17">
        <f t="shared" ref="AJ217:AJ229" si="66">AI33-AI61</f>
        <v>-7</v>
      </c>
      <c r="AK217" s="16" t="s">
        <v>10</v>
      </c>
    </row>
    <row r="218">
      <c r="B218" s="16" t="s">
        <v>921</v>
      </c>
      <c r="C218" s="18" t="s">
        <v>28</v>
      </c>
      <c r="D218" s="216">
        <f t="shared" ref="D218:AH218" si="65">if($AJ$59=D$214,D34-D62,0)</f>
        <v>0</v>
      </c>
      <c r="E218" s="216">
        <f t="shared" si="65"/>
        <v>0</v>
      </c>
      <c r="F218" s="216">
        <f t="shared" si="65"/>
        <v>0</v>
      </c>
      <c r="G218" s="216">
        <f t="shared" si="65"/>
        <v>0</v>
      </c>
      <c r="H218" s="216">
        <f t="shared" si="65"/>
        <v>0</v>
      </c>
      <c r="I218" s="216">
        <f t="shared" si="65"/>
        <v>0</v>
      </c>
      <c r="J218" s="216">
        <f t="shared" si="65"/>
        <v>0</v>
      </c>
      <c r="K218" s="216">
        <f t="shared" si="65"/>
        <v>0</v>
      </c>
      <c r="L218" s="216">
        <f t="shared" si="65"/>
        <v>0</v>
      </c>
      <c r="M218" s="216">
        <f t="shared" si="65"/>
        <v>0</v>
      </c>
      <c r="N218" s="216">
        <f t="shared" si="65"/>
        <v>0</v>
      </c>
      <c r="O218" s="216">
        <f t="shared" si="65"/>
        <v>0</v>
      </c>
      <c r="P218" s="216">
        <f t="shared" si="65"/>
        <v>0</v>
      </c>
      <c r="Q218" s="216">
        <f t="shared" si="65"/>
        <v>0</v>
      </c>
      <c r="R218" s="216">
        <f t="shared" si="65"/>
        <v>0</v>
      </c>
      <c r="S218" s="216">
        <f t="shared" si="65"/>
        <v>0</v>
      </c>
      <c r="T218" s="216">
        <f t="shared" si="65"/>
        <v>0</v>
      </c>
      <c r="U218" s="216">
        <f t="shared" si="65"/>
        <v>0</v>
      </c>
      <c r="V218" s="216">
        <f t="shared" si="65"/>
        <v>0</v>
      </c>
      <c r="W218" s="216">
        <f t="shared" si="65"/>
        <v>0</v>
      </c>
      <c r="X218" s="216">
        <f t="shared" si="65"/>
        <v>0</v>
      </c>
      <c r="Y218" s="216">
        <f t="shared" si="65"/>
        <v>0</v>
      </c>
      <c r="Z218" s="216">
        <f t="shared" si="65"/>
        <v>0</v>
      </c>
      <c r="AA218" s="216">
        <f t="shared" si="65"/>
        <v>0</v>
      </c>
      <c r="AB218" s="216">
        <f t="shared" si="65"/>
        <v>0</v>
      </c>
      <c r="AC218" s="216">
        <f t="shared" si="65"/>
        <v>0</v>
      </c>
      <c r="AD218" s="216">
        <f t="shared" si="65"/>
        <v>0</v>
      </c>
      <c r="AE218" s="216">
        <f t="shared" si="65"/>
        <v>0</v>
      </c>
      <c r="AF218" s="216">
        <f t="shared" si="65"/>
        <v>0</v>
      </c>
      <c r="AG218" s="216">
        <f t="shared" si="65"/>
        <v>0</v>
      </c>
      <c r="AH218" s="39">
        <f t="shared" si="65"/>
        <v>-27</v>
      </c>
      <c r="AI218" s="218">
        <f t="shared" si="64"/>
        <v>-27</v>
      </c>
      <c r="AJ218" s="17">
        <f t="shared" si="66"/>
        <v>-27</v>
      </c>
      <c r="AK218" s="18" t="s">
        <v>28</v>
      </c>
      <c r="AL218" s="18" t="s">
        <v>85</v>
      </c>
      <c r="AM218" s="17">
        <f>sum(D218:AH218,D219:AH219,D220:AH220)</f>
        <v>61</v>
      </c>
      <c r="AN218" s="17">
        <f>AJ218+AJ219+AJ220</f>
        <v>61</v>
      </c>
    </row>
    <row r="219">
      <c r="B219" s="16" t="s">
        <v>921</v>
      </c>
      <c r="C219" s="18" t="s">
        <v>20</v>
      </c>
      <c r="D219" s="216">
        <f t="shared" ref="D219:AH219" si="67">if($AJ$59=D$214,D35-D63,0)</f>
        <v>0</v>
      </c>
      <c r="E219" s="216">
        <f t="shared" si="67"/>
        <v>0</v>
      </c>
      <c r="F219" s="216">
        <f t="shared" si="67"/>
        <v>0</v>
      </c>
      <c r="G219" s="216">
        <f t="shared" si="67"/>
        <v>0</v>
      </c>
      <c r="H219" s="216">
        <f t="shared" si="67"/>
        <v>0</v>
      </c>
      <c r="I219" s="216">
        <f t="shared" si="67"/>
        <v>0</v>
      </c>
      <c r="J219" s="216">
        <f t="shared" si="67"/>
        <v>0</v>
      </c>
      <c r="K219" s="216">
        <f t="shared" si="67"/>
        <v>0</v>
      </c>
      <c r="L219" s="216">
        <f t="shared" si="67"/>
        <v>0</v>
      </c>
      <c r="M219" s="216">
        <f t="shared" si="67"/>
        <v>0</v>
      </c>
      <c r="N219" s="216">
        <f t="shared" si="67"/>
        <v>0</v>
      </c>
      <c r="O219" s="216">
        <f t="shared" si="67"/>
        <v>0</v>
      </c>
      <c r="P219" s="216">
        <f t="shared" si="67"/>
        <v>0</v>
      </c>
      <c r="Q219" s="216">
        <f t="shared" si="67"/>
        <v>0</v>
      </c>
      <c r="R219" s="216">
        <f t="shared" si="67"/>
        <v>0</v>
      </c>
      <c r="S219" s="216">
        <f t="shared" si="67"/>
        <v>0</v>
      </c>
      <c r="T219" s="216">
        <f t="shared" si="67"/>
        <v>0</v>
      </c>
      <c r="U219" s="216">
        <f t="shared" si="67"/>
        <v>0</v>
      </c>
      <c r="V219" s="216">
        <f t="shared" si="67"/>
        <v>0</v>
      </c>
      <c r="W219" s="216">
        <f t="shared" si="67"/>
        <v>0</v>
      </c>
      <c r="X219" s="216">
        <f t="shared" si="67"/>
        <v>0</v>
      </c>
      <c r="Y219" s="216">
        <f t="shared" si="67"/>
        <v>0</v>
      </c>
      <c r="Z219" s="216">
        <f t="shared" si="67"/>
        <v>0</v>
      </c>
      <c r="AA219" s="216">
        <f t="shared" si="67"/>
        <v>0</v>
      </c>
      <c r="AB219" s="216">
        <f t="shared" si="67"/>
        <v>0</v>
      </c>
      <c r="AC219" s="216">
        <f t="shared" si="67"/>
        <v>0</v>
      </c>
      <c r="AD219" s="216">
        <f t="shared" si="67"/>
        <v>0</v>
      </c>
      <c r="AE219" s="216">
        <f t="shared" si="67"/>
        <v>0</v>
      </c>
      <c r="AF219" s="216">
        <f t="shared" si="67"/>
        <v>0</v>
      </c>
      <c r="AG219" s="216">
        <f t="shared" si="67"/>
        <v>0</v>
      </c>
      <c r="AH219" s="39">
        <f t="shared" si="67"/>
        <v>63</v>
      </c>
      <c r="AI219" s="218">
        <f t="shared" si="64"/>
        <v>63</v>
      </c>
      <c r="AJ219" s="17">
        <f t="shared" si="66"/>
        <v>63</v>
      </c>
      <c r="AK219" s="18" t="s">
        <v>20</v>
      </c>
    </row>
    <row r="220">
      <c r="B220" s="16" t="s">
        <v>921</v>
      </c>
      <c r="C220" s="18" t="s">
        <v>33</v>
      </c>
      <c r="D220" s="216">
        <f t="shared" ref="D220:AH220" si="68">if($AJ$59=D$214,D36-D64,0)</f>
        <v>0</v>
      </c>
      <c r="E220" s="216">
        <f t="shared" si="68"/>
        <v>0</v>
      </c>
      <c r="F220" s="216">
        <f t="shared" si="68"/>
        <v>0</v>
      </c>
      <c r="G220" s="216">
        <f t="shared" si="68"/>
        <v>0</v>
      </c>
      <c r="H220" s="216">
        <f t="shared" si="68"/>
        <v>0</v>
      </c>
      <c r="I220" s="216">
        <f t="shared" si="68"/>
        <v>0</v>
      </c>
      <c r="J220" s="216">
        <f t="shared" si="68"/>
        <v>0</v>
      </c>
      <c r="K220" s="216">
        <f t="shared" si="68"/>
        <v>0</v>
      </c>
      <c r="L220" s="216">
        <f t="shared" si="68"/>
        <v>0</v>
      </c>
      <c r="M220" s="216">
        <f t="shared" si="68"/>
        <v>0</v>
      </c>
      <c r="N220" s="216">
        <f t="shared" si="68"/>
        <v>0</v>
      </c>
      <c r="O220" s="216">
        <f t="shared" si="68"/>
        <v>0</v>
      </c>
      <c r="P220" s="216">
        <f t="shared" si="68"/>
        <v>0</v>
      </c>
      <c r="Q220" s="216">
        <f t="shared" si="68"/>
        <v>0</v>
      </c>
      <c r="R220" s="216">
        <f t="shared" si="68"/>
        <v>0</v>
      </c>
      <c r="S220" s="216">
        <f t="shared" si="68"/>
        <v>0</v>
      </c>
      <c r="T220" s="216">
        <f t="shared" si="68"/>
        <v>0</v>
      </c>
      <c r="U220" s="216">
        <f t="shared" si="68"/>
        <v>0</v>
      </c>
      <c r="V220" s="216">
        <f t="shared" si="68"/>
        <v>0</v>
      </c>
      <c r="W220" s="216">
        <f t="shared" si="68"/>
        <v>0</v>
      </c>
      <c r="X220" s="216">
        <f t="shared" si="68"/>
        <v>0</v>
      </c>
      <c r="Y220" s="216">
        <f t="shared" si="68"/>
        <v>0</v>
      </c>
      <c r="Z220" s="216">
        <f t="shared" si="68"/>
        <v>0</v>
      </c>
      <c r="AA220" s="216">
        <f t="shared" si="68"/>
        <v>0</v>
      </c>
      <c r="AB220" s="216">
        <f t="shared" si="68"/>
        <v>0</v>
      </c>
      <c r="AC220" s="216">
        <f t="shared" si="68"/>
        <v>0</v>
      </c>
      <c r="AD220" s="216">
        <f t="shared" si="68"/>
        <v>0</v>
      </c>
      <c r="AE220" s="216">
        <f t="shared" si="68"/>
        <v>0</v>
      </c>
      <c r="AF220" s="216">
        <f t="shared" si="68"/>
        <v>0</v>
      </c>
      <c r="AG220" s="216">
        <f t="shared" si="68"/>
        <v>0</v>
      </c>
      <c r="AH220" s="39">
        <f t="shared" si="68"/>
        <v>25</v>
      </c>
      <c r="AI220" s="218">
        <f t="shared" si="64"/>
        <v>25</v>
      </c>
      <c r="AJ220" s="17">
        <f t="shared" si="66"/>
        <v>25</v>
      </c>
      <c r="AK220" s="18" t="s">
        <v>33</v>
      </c>
    </row>
    <row r="221">
      <c r="B221" s="16" t="s">
        <v>921</v>
      </c>
      <c r="C221" s="18" t="s">
        <v>24</v>
      </c>
      <c r="D221" s="216">
        <f t="shared" ref="D221:AH221" si="69">if($AJ$59=D$214,D37-D65,0)</f>
        <v>0</v>
      </c>
      <c r="E221" s="216">
        <f t="shared" si="69"/>
        <v>0</v>
      </c>
      <c r="F221" s="216">
        <f t="shared" si="69"/>
        <v>0</v>
      </c>
      <c r="G221" s="216">
        <f t="shared" si="69"/>
        <v>0</v>
      </c>
      <c r="H221" s="216">
        <f t="shared" si="69"/>
        <v>0</v>
      </c>
      <c r="I221" s="216">
        <f t="shared" si="69"/>
        <v>0</v>
      </c>
      <c r="J221" s="216">
        <f t="shared" si="69"/>
        <v>0</v>
      </c>
      <c r="K221" s="216">
        <f t="shared" si="69"/>
        <v>0</v>
      </c>
      <c r="L221" s="216">
        <f t="shared" si="69"/>
        <v>0</v>
      </c>
      <c r="M221" s="216">
        <f t="shared" si="69"/>
        <v>0</v>
      </c>
      <c r="N221" s="216">
        <f t="shared" si="69"/>
        <v>0</v>
      </c>
      <c r="O221" s="216">
        <f t="shared" si="69"/>
        <v>0</v>
      </c>
      <c r="P221" s="216">
        <f t="shared" si="69"/>
        <v>0</v>
      </c>
      <c r="Q221" s="216">
        <f t="shared" si="69"/>
        <v>0</v>
      </c>
      <c r="R221" s="216">
        <f t="shared" si="69"/>
        <v>0</v>
      </c>
      <c r="S221" s="216">
        <f t="shared" si="69"/>
        <v>0</v>
      </c>
      <c r="T221" s="216">
        <f t="shared" si="69"/>
        <v>0</v>
      </c>
      <c r="U221" s="216">
        <f t="shared" si="69"/>
        <v>0</v>
      </c>
      <c r="V221" s="216">
        <f t="shared" si="69"/>
        <v>0</v>
      </c>
      <c r="W221" s="216">
        <f t="shared" si="69"/>
        <v>0</v>
      </c>
      <c r="X221" s="216">
        <f t="shared" si="69"/>
        <v>0</v>
      </c>
      <c r="Y221" s="216">
        <f t="shared" si="69"/>
        <v>0</v>
      </c>
      <c r="Z221" s="216">
        <f t="shared" si="69"/>
        <v>0</v>
      </c>
      <c r="AA221" s="216">
        <f t="shared" si="69"/>
        <v>0</v>
      </c>
      <c r="AB221" s="216">
        <f t="shared" si="69"/>
        <v>0</v>
      </c>
      <c r="AC221" s="216">
        <f t="shared" si="69"/>
        <v>0</v>
      </c>
      <c r="AD221" s="216">
        <f t="shared" si="69"/>
        <v>0</v>
      </c>
      <c r="AE221" s="216">
        <f t="shared" si="69"/>
        <v>0</v>
      </c>
      <c r="AF221" s="216">
        <f t="shared" si="69"/>
        <v>0</v>
      </c>
      <c r="AG221" s="216">
        <f t="shared" si="69"/>
        <v>0</v>
      </c>
      <c r="AH221" s="39">
        <f t="shared" si="69"/>
        <v>-221</v>
      </c>
      <c r="AI221" s="218">
        <f t="shared" si="64"/>
        <v>-221</v>
      </c>
      <c r="AJ221" s="17">
        <f t="shared" si="66"/>
        <v>-221</v>
      </c>
      <c r="AK221" s="18" t="s">
        <v>24</v>
      </c>
      <c r="AL221" s="18" t="s">
        <v>24</v>
      </c>
      <c r="AM221" s="17">
        <f>sum(D221:AH221)</f>
        <v>-221</v>
      </c>
      <c r="AN221" s="17">
        <f>AJ221</f>
        <v>-221</v>
      </c>
    </row>
    <row r="222">
      <c r="B222" s="16" t="s">
        <v>922</v>
      </c>
      <c r="C222" s="19" t="s">
        <v>86</v>
      </c>
      <c r="D222" s="216">
        <f t="shared" ref="D222:AH222" si="70">if($AJ$59=D$214,D38-D66,0)</f>
        <v>0</v>
      </c>
      <c r="E222" s="216">
        <f t="shared" si="70"/>
        <v>0</v>
      </c>
      <c r="F222" s="216">
        <f t="shared" si="70"/>
        <v>0</v>
      </c>
      <c r="G222" s="216">
        <f t="shared" si="70"/>
        <v>0</v>
      </c>
      <c r="H222" s="216">
        <f t="shared" si="70"/>
        <v>0</v>
      </c>
      <c r="I222" s="216">
        <f t="shared" si="70"/>
        <v>0</v>
      </c>
      <c r="J222" s="216">
        <f t="shared" si="70"/>
        <v>0</v>
      </c>
      <c r="K222" s="216">
        <f t="shared" si="70"/>
        <v>0</v>
      </c>
      <c r="L222" s="216">
        <f t="shared" si="70"/>
        <v>0</v>
      </c>
      <c r="M222" s="216">
        <f t="shared" si="70"/>
        <v>0</v>
      </c>
      <c r="N222" s="216">
        <f t="shared" si="70"/>
        <v>0</v>
      </c>
      <c r="O222" s="216">
        <f t="shared" si="70"/>
        <v>0</v>
      </c>
      <c r="P222" s="216">
        <f t="shared" si="70"/>
        <v>0</v>
      </c>
      <c r="Q222" s="216">
        <f t="shared" si="70"/>
        <v>0</v>
      </c>
      <c r="R222" s="216">
        <f t="shared" si="70"/>
        <v>0</v>
      </c>
      <c r="S222" s="216">
        <f t="shared" si="70"/>
        <v>0</v>
      </c>
      <c r="T222" s="216">
        <f t="shared" si="70"/>
        <v>0</v>
      </c>
      <c r="U222" s="216">
        <f t="shared" si="70"/>
        <v>0</v>
      </c>
      <c r="V222" s="216">
        <f t="shared" si="70"/>
        <v>0</v>
      </c>
      <c r="W222" s="216">
        <f t="shared" si="70"/>
        <v>0</v>
      </c>
      <c r="X222" s="216">
        <f t="shared" si="70"/>
        <v>0</v>
      </c>
      <c r="Y222" s="216">
        <f t="shared" si="70"/>
        <v>0</v>
      </c>
      <c r="Z222" s="216">
        <f t="shared" si="70"/>
        <v>0</v>
      </c>
      <c r="AA222" s="216">
        <f t="shared" si="70"/>
        <v>0</v>
      </c>
      <c r="AB222" s="216">
        <f t="shared" si="70"/>
        <v>0</v>
      </c>
      <c r="AC222" s="216">
        <f t="shared" si="70"/>
        <v>0</v>
      </c>
      <c r="AD222" s="216">
        <f t="shared" si="70"/>
        <v>0</v>
      </c>
      <c r="AE222" s="216">
        <f t="shared" si="70"/>
        <v>0</v>
      </c>
      <c r="AF222" s="216">
        <f t="shared" si="70"/>
        <v>0</v>
      </c>
      <c r="AG222" s="216">
        <f t="shared" si="70"/>
        <v>0</v>
      </c>
      <c r="AH222" s="39">
        <f t="shared" si="70"/>
        <v>215</v>
      </c>
      <c r="AI222" s="218">
        <f t="shared" si="64"/>
        <v>215</v>
      </c>
      <c r="AJ222" s="17">
        <f t="shared" si="66"/>
        <v>215</v>
      </c>
      <c r="AK222" s="19" t="s">
        <v>86</v>
      </c>
      <c r="AL222" s="19" t="s">
        <v>86</v>
      </c>
      <c r="AM222" s="17">
        <f>sum(D222:AH222,D224:AH224)</f>
        <v>387</v>
      </c>
      <c r="AN222" s="17">
        <f>AJ222+AJ224</f>
        <v>387</v>
      </c>
    </row>
    <row r="223">
      <c r="B223" s="16" t="s">
        <v>922</v>
      </c>
      <c r="C223" s="19" t="s">
        <v>41</v>
      </c>
      <c r="D223" s="216">
        <f t="shared" ref="D223:AH223" si="71">if($AJ$59=D$214,D39-D67,0)</f>
        <v>0</v>
      </c>
      <c r="E223" s="216">
        <f t="shared" si="71"/>
        <v>0</v>
      </c>
      <c r="F223" s="216">
        <f t="shared" si="71"/>
        <v>0</v>
      </c>
      <c r="G223" s="216">
        <f t="shared" si="71"/>
        <v>0</v>
      </c>
      <c r="H223" s="216">
        <f t="shared" si="71"/>
        <v>0</v>
      </c>
      <c r="I223" s="216">
        <f t="shared" si="71"/>
        <v>0</v>
      </c>
      <c r="J223" s="216">
        <f t="shared" si="71"/>
        <v>0</v>
      </c>
      <c r="K223" s="216">
        <f t="shared" si="71"/>
        <v>0</v>
      </c>
      <c r="L223" s="216">
        <f t="shared" si="71"/>
        <v>0</v>
      </c>
      <c r="M223" s="216">
        <f t="shared" si="71"/>
        <v>0</v>
      </c>
      <c r="N223" s="216">
        <f t="shared" si="71"/>
        <v>0</v>
      </c>
      <c r="O223" s="216">
        <f t="shared" si="71"/>
        <v>0</v>
      </c>
      <c r="P223" s="216">
        <f t="shared" si="71"/>
        <v>0</v>
      </c>
      <c r="Q223" s="216">
        <f t="shared" si="71"/>
        <v>0</v>
      </c>
      <c r="R223" s="216">
        <f t="shared" si="71"/>
        <v>0</v>
      </c>
      <c r="S223" s="216">
        <f t="shared" si="71"/>
        <v>0</v>
      </c>
      <c r="T223" s="216">
        <f t="shared" si="71"/>
        <v>0</v>
      </c>
      <c r="U223" s="216">
        <f t="shared" si="71"/>
        <v>0</v>
      </c>
      <c r="V223" s="216">
        <f t="shared" si="71"/>
        <v>0</v>
      </c>
      <c r="W223" s="216">
        <f t="shared" si="71"/>
        <v>0</v>
      </c>
      <c r="X223" s="216">
        <f t="shared" si="71"/>
        <v>0</v>
      </c>
      <c r="Y223" s="216">
        <f t="shared" si="71"/>
        <v>0</v>
      </c>
      <c r="Z223" s="216">
        <f t="shared" si="71"/>
        <v>0</v>
      </c>
      <c r="AA223" s="216">
        <f t="shared" si="71"/>
        <v>0</v>
      </c>
      <c r="AB223" s="216">
        <f t="shared" si="71"/>
        <v>0</v>
      </c>
      <c r="AC223" s="216">
        <f t="shared" si="71"/>
        <v>0</v>
      </c>
      <c r="AD223" s="216">
        <f t="shared" si="71"/>
        <v>0</v>
      </c>
      <c r="AE223" s="216">
        <f t="shared" si="71"/>
        <v>0</v>
      </c>
      <c r="AF223" s="216">
        <f t="shared" si="71"/>
        <v>0</v>
      </c>
      <c r="AG223" s="216">
        <f t="shared" si="71"/>
        <v>0</v>
      </c>
      <c r="AH223" s="39">
        <f t="shared" si="71"/>
        <v>-12</v>
      </c>
      <c r="AI223" s="218">
        <f t="shared" si="64"/>
        <v>-12</v>
      </c>
      <c r="AJ223" s="17">
        <f t="shared" si="66"/>
        <v>-12</v>
      </c>
      <c r="AK223" s="19" t="s">
        <v>41</v>
      </c>
      <c r="AL223" s="19" t="s">
        <v>41</v>
      </c>
      <c r="AM223" s="17">
        <f>sum(D223:AH223)</f>
        <v>-12</v>
      </c>
      <c r="AN223" s="17">
        <f>AJ223</f>
        <v>-12</v>
      </c>
    </row>
    <row r="224">
      <c r="B224" s="16" t="s">
        <v>922</v>
      </c>
      <c r="C224" s="19" t="s">
        <v>924</v>
      </c>
      <c r="D224" s="216">
        <f t="shared" ref="D224:AH224" si="72">if($AJ$59=D$214,D40-D68,0)</f>
        <v>0</v>
      </c>
      <c r="E224" s="216">
        <f t="shared" si="72"/>
        <v>0</v>
      </c>
      <c r="F224" s="216">
        <f t="shared" si="72"/>
        <v>0</v>
      </c>
      <c r="G224" s="216">
        <f t="shared" si="72"/>
        <v>0</v>
      </c>
      <c r="H224" s="216">
        <f t="shared" si="72"/>
        <v>0</v>
      </c>
      <c r="I224" s="216">
        <f t="shared" si="72"/>
        <v>0</v>
      </c>
      <c r="J224" s="216">
        <f t="shared" si="72"/>
        <v>0</v>
      </c>
      <c r="K224" s="216">
        <f t="shared" si="72"/>
        <v>0</v>
      </c>
      <c r="L224" s="216">
        <f t="shared" si="72"/>
        <v>0</v>
      </c>
      <c r="M224" s="216">
        <f t="shared" si="72"/>
        <v>0</v>
      </c>
      <c r="N224" s="216">
        <f t="shared" si="72"/>
        <v>0</v>
      </c>
      <c r="O224" s="216">
        <f t="shared" si="72"/>
        <v>0</v>
      </c>
      <c r="P224" s="216">
        <f t="shared" si="72"/>
        <v>0</v>
      </c>
      <c r="Q224" s="216">
        <f t="shared" si="72"/>
        <v>0</v>
      </c>
      <c r="R224" s="216">
        <f t="shared" si="72"/>
        <v>0</v>
      </c>
      <c r="S224" s="216">
        <f t="shared" si="72"/>
        <v>0</v>
      </c>
      <c r="T224" s="216">
        <f t="shared" si="72"/>
        <v>0</v>
      </c>
      <c r="U224" s="216">
        <f t="shared" si="72"/>
        <v>0</v>
      </c>
      <c r="V224" s="216">
        <f t="shared" si="72"/>
        <v>0</v>
      </c>
      <c r="W224" s="216">
        <f t="shared" si="72"/>
        <v>0</v>
      </c>
      <c r="X224" s="216">
        <f t="shared" si="72"/>
        <v>0</v>
      </c>
      <c r="Y224" s="216">
        <f t="shared" si="72"/>
        <v>0</v>
      </c>
      <c r="Z224" s="216">
        <f t="shared" si="72"/>
        <v>0</v>
      </c>
      <c r="AA224" s="216">
        <f t="shared" si="72"/>
        <v>0</v>
      </c>
      <c r="AB224" s="216">
        <f t="shared" si="72"/>
        <v>0</v>
      </c>
      <c r="AC224" s="216">
        <f t="shared" si="72"/>
        <v>0</v>
      </c>
      <c r="AD224" s="216">
        <f t="shared" si="72"/>
        <v>0</v>
      </c>
      <c r="AE224" s="216">
        <f t="shared" si="72"/>
        <v>0</v>
      </c>
      <c r="AF224" s="216">
        <f t="shared" si="72"/>
        <v>0</v>
      </c>
      <c r="AG224" s="216">
        <f t="shared" si="72"/>
        <v>0</v>
      </c>
      <c r="AH224" s="39">
        <f t="shared" si="72"/>
        <v>172</v>
      </c>
      <c r="AI224" s="218">
        <f t="shared" si="64"/>
        <v>172</v>
      </c>
      <c r="AJ224" s="17">
        <f t="shared" si="66"/>
        <v>172</v>
      </c>
      <c r="AK224" s="19" t="s">
        <v>924</v>
      </c>
    </row>
    <row r="225">
      <c r="B225" s="16" t="s">
        <v>926</v>
      </c>
      <c r="C225" s="20" t="s">
        <v>985</v>
      </c>
      <c r="D225" s="216">
        <f t="shared" ref="D225:AH225" si="73">if($AJ$59=D$214,D41-D69,0)</f>
        <v>0</v>
      </c>
      <c r="E225" s="216">
        <f t="shared" si="73"/>
        <v>0</v>
      </c>
      <c r="F225" s="216">
        <f t="shared" si="73"/>
        <v>0</v>
      </c>
      <c r="G225" s="216">
        <f t="shared" si="73"/>
        <v>0</v>
      </c>
      <c r="H225" s="216">
        <f t="shared" si="73"/>
        <v>0</v>
      </c>
      <c r="I225" s="216">
        <f t="shared" si="73"/>
        <v>0</v>
      </c>
      <c r="J225" s="216">
        <f t="shared" si="73"/>
        <v>0</v>
      </c>
      <c r="K225" s="216">
        <f t="shared" si="73"/>
        <v>0</v>
      </c>
      <c r="L225" s="216">
        <f t="shared" si="73"/>
        <v>0</v>
      </c>
      <c r="M225" s="216">
        <f t="shared" si="73"/>
        <v>0</v>
      </c>
      <c r="N225" s="216">
        <f t="shared" si="73"/>
        <v>0</v>
      </c>
      <c r="O225" s="216">
        <f t="shared" si="73"/>
        <v>0</v>
      </c>
      <c r="P225" s="216">
        <f t="shared" si="73"/>
        <v>0</v>
      </c>
      <c r="Q225" s="216">
        <f t="shared" si="73"/>
        <v>0</v>
      </c>
      <c r="R225" s="216">
        <f t="shared" si="73"/>
        <v>0</v>
      </c>
      <c r="S225" s="216">
        <f t="shared" si="73"/>
        <v>0</v>
      </c>
      <c r="T225" s="216">
        <f t="shared" si="73"/>
        <v>0</v>
      </c>
      <c r="U225" s="216">
        <f t="shared" si="73"/>
        <v>0</v>
      </c>
      <c r="V225" s="216">
        <f t="shared" si="73"/>
        <v>0</v>
      </c>
      <c r="W225" s="216">
        <f t="shared" si="73"/>
        <v>0</v>
      </c>
      <c r="X225" s="216">
        <f t="shared" si="73"/>
        <v>0</v>
      </c>
      <c r="Y225" s="216">
        <f t="shared" si="73"/>
        <v>0</v>
      </c>
      <c r="Z225" s="216">
        <f t="shared" si="73"/>
        <v>0</v>
      </c>
      <c r="AA225" s="216">
        <f t="shared" si="73"/>
        <v>0</v>
      </c>
      <c r="AB225" s="216">
        <f t="shared" si="73"/>
        <v>0</v>
      </c>
      <c r="AC225" s="216">
        <f t="shared" si="73"/>
        <v>0</v>
      </c>
      <c r="AD225" s="216">
        <f t="shared" si="73"/>
        <v>0</v>
      </c>
      <c r="AE225" s="216">
        <f t="shared" si="73"/>
        <v>0</v>
      </c>
      <c r="AF225" s="216">
        <f t="shared" si="73"/>
        <v>0</v>
      </c>
      <c r="AG225" s="216">
        <f t="shared" si="73"/>
        <v>0</v>
      </c>
      <c r="AH225" s="39">
        <f t="shared" si="73"/>
        <v>30</v>
      </c>
      <c r="AI225" s="218">
        <f t="shared" si="64"/>
        <v>30</v>
      </c>
      <c r="AJ225" s="17">
        <f t="shared" si="66"/>
        <v>30</v>
      </c>
      <c r="AK225" s="20" t="s">
        <v>985</v>
      </c>
      <c r="AL225" s="20" t="s">
        <v>87</v>
      </c>
      <c r="AM225" s="17">
        <f>sum(D225:AH225,D226:AH226)</f>
        <v>150</v>
      </c>
      <c r="AN225" s="17">
        <f>AJ225+AJ226</f>
        <v>150</v>
      </c>
    </row>
    <row r="226">
      <c r="B226" s="16" t="s">
        <v>926</v>
      </c>
      <c r="C226" s="20" t="s">
        <v>927</v>
      </c>
      <c r="D226" s="216">
        <f t="shared" ref="D226:AH226" si="74">if($AJ$59=D$214,D42-D70,0)</f>
        <v>0</v>
      </c>
      <c r="E226" s="216">
        <f t="shared" si="74"/>
        <v>0</v>
      </c>
      <c r="F226" s="216">
        <f t="shared" si="74"/>
        <v>0</v>
      </c>
      <c r="G226" s="216">
        <f t="shared" si="74"/>
        <v>0</v>
      </c>
      <c r="H226" s="216">
        <f t="shared" si="74"/>
        <v>0</v>
      </c>
      <c r="I226" s="216">
        <f t="shared" si="74"/>
        <v>0</v>
      </c>
      <c r="J226" s="216">
        <f t="shared" si="74"/>
        <v>0</v>
      </c>
      <c r="K226" s="216">
        <f t="shared" si="74"/>
        <v>0</v>
      </c>
      <c r="L226" s="216">
        <f t="shared" si="74"/>
        <v>0</v>
      </c>
      <c r="M226" s="216">
        <f t="shared" si="74"/>
        <v>0</v>
      </c>
      <c r="N226" s="216">
        <f t="shared" si="74"/>
        <v>0</v>
      </c>
      <c r="O226" s="216">
        <f t="shared" si="74"/>
        <v>0</v>
      </c>
      <c r="P226" s="216">
        <f t="shared" si="74"/>
        <v>0</v>
      </c>
      <c r="Q226" s="216">
        <f t="shared" si="74"/>
        <v>0</v>
      </c>
      <c r="R226" s="216">
        <f t="shared" si="74"/>
        <v>0</v>
      </c>
      <c r="S226" s="216">
        <f t="shared" si="74"/>
        <v>0</v>
      </c>
      <c r="T226" s="216">
        <f t="shared" si="74"/>
        <v>0</v>
      </c>
      <c r="U226" s="216">
        <f t="shared" si="74"/>
        <v>0</v>
      </c>
      <c r="V226" s="216">
        <f t="shared" si="74"/>
        <v>0</v>
      </c>
      <c r="W226" s="216">
        <f t="shared" si="74"/>
        <v>0</v>
      </c>
      <c r="X226" s="216">
        <f t="shared" si="74"/>
        <v>0</v>
      </c>
      <c r="Y226" s="216">
        <f t="shared" si="74"/>
        <v>0</v>
      </c>
      <c r="Z226" s="216">
        <f t="shared" si="74"/>
        <v>0</v>
      </c>
      <c r="AA226" s="216">
        <f t="shared" si="74"/>
        <v>0</v>
      </c>
      <c r="AB226" s="216">
        <f t="shared" si="74"/>
        <v>0</v>
      </c>
      <c r="AC226" s="216">
        <f t="shared" si="74"/>
        <v>0</v>
      </c>
      <c r="AD226" s="216">
        <f t="shared" si="74"/>
        <v>0</v>
      </c>
      <c r="AE226" s="216">
        <f t="shared" si="74"/>
        <v>0</v>
      </c>
      <c r="AF226" s="216">
        <f t="shared" si="74"/>
        <v>0</v>
      </c>
      <c r="AG226" s="216">
        <f t="shared" si="74"/>
        <v>0</v>
      </c>
      <c r="AH226" s="39">
        <f t="shared" si="74"/>
        <v>120</v>
      </c>
      <c r="AI226" s="218">
        <f t="shared" si="64"/>
        <v>120</v>
      </c>
      <c r="AJ226" s="17">
        <f t="shared" si="66"/>
        <v>120</v>
      </c>
      <c r="AK226" s="20" t="s">
        <v>927</v>
      </c>
    </row>
    <row r="227">
      <c r="B227" s="16" t="s">
        <v>928</v>
      </c>
      <c r="C227" s="21" t="s">
        <v>50</v>
      </c>
      <c r="D227" s="216">
        <f t="shared" ref="D227:AH227" si="75">if($AJ$59=D$214,D43-D71,0)</f>
        <v>0</v>
      </c>
      <c r="E227" s="216">
        <f t="shared" si="75"/>
        <v>0</v>
      </c>
      <c r="F227" s="216">
        <f t="shared" si="75"/>
        <v>0</v>
      </c>
      <c r="G227" s="216">
        <f t="shared" si="75"/>
        <v>0</v>
      </c>
      <c r="H227" s="216">
        <f t="shared" si="75"/>
        <v>0</v>
      </c>
      <c r="I227" s="216">
        <f t="shared" si="75"/>
        <v>0</v>
      </c>
      <c r="J227" s="216">
        <f t="shared" si="75"/>
        <v>0</v>
      </c>
      <c r="K227" s="216">
        <f t="shared" si="75"/>
        <v>0</v>
      </c>
      <c r="L227" s="216">
        <f t="shared" si="75"/>
        <v>0</v>
      </c>
      <c r="M227" s="216">
        <f t="shared" si="75"/>
        <v>0</v>
      </c>
      <c r="N227" s="216">
        <f t="shared" si="75"/>
        <v>0</v>
      </c>
      <c r="O227" s="216">
        <f t="shared" si="75"/>
        <v>0</v>
      </c>
      <c r="P227" s="216">
        <f t="shared" si="75"/>
        <v>0</v>
      </c>
      <c r="Q227" s="216">
        <f t="shared" si="75"/>
        <v>0</v>
      </c>
      <c r="R227" s="216">
        <f t="shared" si="75"/>
        <v>0</v>
      </c>
      <c r="S227" s="216">
        <f t="shared" si="75"/>
        <v>0</v>
      </c>
      <c r="T227" s="216">
        <f t="shared" si="75"/>
        <v>0</v>
      </c>
      <c r="U227" s="216">
        <f t="shared" si="75"/>
        <v>0</v>
      </c>
      <c r="V227" s="216">
        <f t="shared" si="75"/>
        <v>0</v>
      </c>
      <c r="W227" s="216">
        <f t="shared" si="75"/>
        <v>0</v>
      </c>
      <c r="X227" s="216">
        <f t="shared" si="75"/>
        <v>0</v>
      </c>
      <c r="Y227" s="216">
        <f t="shared" si="75"/>
        <v>0</v>
      </c>
      <c r="Z227" s="216">
        <f t="shared" si="75"/>
        <v>0</v>
      </c>
      <c r="AA227" s="216">
        <f t="shared" si="75"/>
        <v>0</v>
      </c>
      <c r="AB227" s="216">
        <f t="shared" si="75"/>
        <v>0</v>
      </c>
      <c r="AC227" s="216">
        <f t="shared" si="75"/>
        <v>0</v>
      </c>
      <c r="AD227" s="216">
        <f t="shared" si="75"/>
        <v>0</v>
      </c>
      <c r="AE227" s="216">
        <f t="shared" si="75"/>
        <v>0</v>
      </c>
      <c r="AF227" s="216">
        <f t="shared" si="75"/>
        <v>0</v>
      </c>
      <c r="AG227" s="216">
        <f t="shared" si="75"/>
        <v>0</v>
      </c>
      <c r="AH227" s="39">
        <f t="shared" si="75"/>
        <v>34</v>
      </c>
      <c r="AI227" s="218">
        <f t="shared" si="64"/>
        <v>34</v>
      </c>
      <c r="AJ227" s="17">
        <f t="shared" si="66"/>
        <v>34</v>
      </c>
      <c r="AK227" s="21" t="s">
        <v>50</v>
      </c>
      <c r="AL227" s="21" t="s">
        <v>88</v>
      </c>
      <c r="AM227" s="17">
        <f>sum(D227:AH232)</f>
        <v>145</v>
      </c>
      <c r="AN227" s="17">
        <f>AJ227+AJ228+AJ229+AJ232</f>
        <v>145</v>
      </c>
    </row>
    <row r="228">
      <c r="B228" s="16" t="s">
        <v>928</v>
      </c>
      <c r="C228" s="21" t="s">
        <v>929</v>
      </c>
      <c r="D228" s="216">
        <f t="shared" ref="D228:AH228" si="76">if($AJ$59=D$214,D44-D72,0)</f>
        <v>0</v>
      </c>
      <c r="E228" s="216">
        <f t="shared" si="76"/>
        <v>0</v>
      </c>
      <c r="F228" s="216">
        <f t="shared" si="76"/>
        <v>0</v>
      </c>
      <c r="G228" s="216">
        <f t="shared" si="76"/>
        <v>0</v>
      </c>
      <c r="H228" s="216">
        <f t="shared" si="76"/>
        <v>0</v>
      </c>
      <c r="I228" s="216">
        <f t="shared" si="76"/>
        <v>0</v>
      </c>
      <c r="J228" s="216">
        <f t="shared" si="76"/>
        <v>0</v>
      </c>
      <c r="K228" s="216">
        <f t="shared" si="76"/>
        <v>0</v>
      </c>
      <c r="L228" s="216">
        <f t="shared" si="76"/>
        <v>0</v>
      </c>
      <c r="M228" s="216">
        <f t="shared" si="76"/>
        <v>0</v>
      </c>
      <c r="N228" s="216">
        <f t="shared" si="76"/>
        <v>0</v>
      </c>
      <c r="O228" s="216">
        <f t="shared" si="76"/>
        <v>0</v>
      </c>
      <c r="P228" s="216">
        <f t="shared" si="76"/>
        <v>0</v>
      </c>
      <c r="Q228" s="216">
        <f t="shared" si="76"/>
        <v>0</v>
      </c>
      <c r="R228" s="216">
        <f t="shared" si="76"/>
        <v>0</v>
      </c>
      <c r="S228" s="216">
        <f t="shared" si="76"/>
        <v>0</v>
      </c>
      <c r="T228" s="216">
        <f t="shared" si="76"/>
        <v>0</v>
      </c>
      <c r="U228" s="216">
        <f t="shared" si="76"/>
        <v>0</v>
      </c>
      <c r="V228" s="216">
        <f t="shared" si="76"/>
        <v>0</v>
      </c>
      <c r="W228" s="216">
        <f t="shared" si="76"/>
        <v>0</v>
      </c>
      <c r="X228" s="216">
        <f t="shared" si="76"/>
        <v>0</v>
      </c>
      <c r="Y228" s="216">
        <f t="shared" si="76"/>
        <v>0</v>
      </c>
      <c r="Z228" s="216">
        <f t="shared" si="76"/>
        <v>0</v>
      </c>
      <c r="AA228" s="216">
        <f t="shared" si="76"/>
        <v>0</v>
      </c>
      <c r="AB228" s="216">
        <f t="shared" si="76"/>
        <v>0</v>
      </c>
      <c r="AC228" s="216">
        <f t="shared" si="76"/>
        <v>0</v>
      </c>
      <c r="AD228" s="216">
        <f t="shared" si="76"/>
        <v>0</v>
      </c>
      <c r="AE228" s="216">
        <f t="shared" si="76"/>
        <v>0</v>
      </c>
      <c r="AF228" s="216">
        <f t="shared" si="76"/>
        <v>0</v>
      </c>
      <c r="AG228" s="216">
        <f t="shared" si="76"/>
        <v>0</v>
      </c>
      <c r="AH228" s="39">
        <f t="shared" si="76"/>
        <v>100</v>
      </c>
      <c r="AI228" s="218">
        <f t="shared" si="64"/>
        <v>100</v>
      </c>
      <c r="AJ228" s="17">
        <f t="shared" si="66"/>
        <v>100</v>
      </c>
      <c r="AK228" s="21" t="s">
        <v>929</v>
      </c>
    </row>
    <row r="229">
      <c r="B229" s="16" t="s">
        <v>928</v>
      </c>
      <c r="C229" s="21" t="s">
        <v>940</v>
      </c>
      <c r="D229" s="216">
        <f t="shared" ref="D229:AH229" si="77">if($AJ$59=D$214,D45-D73,0)</f>
        <v>0</v>
      </c>
      <c r="E229" s="216">
        <f t="shared" si="77"/>
        <v>0</v>
      </c>
      <c r="F229" s="216">
        <f t="shared" si="77"/>
        <v>0</v>
      </c>
      <c r="G229" s="216">
        <f t="shared" si="77"/>
        <v>0</v>
      </c>
      <c r="H229" s="216">
        <f t="shared" si="77"/>
        <v>0</v>
      </c>
      <c r="I229" s="216">
        <f t="shared" si="77"/>
        <v>0</v>
      </c>
      <c r="J229" s="216">
        <f t="shared" si="77"/>
        <v>0</v>
      </c>
      <c r="K229" s="216">
        <f t="shared" si="77"/>
        <v>0</v>
      </c>
      <c r="L229" s="216">
        <f t="shared" si="77"/>
        <v>0</v>
      </c>
      <c r="M229" s="216">
        <f t="shared" si="77"/>
        <v>0</v>
      </c>
      <c r="N229" s="216">
        <f t="shared" si="77"/>
        <v>0</v>
      </c>
      <c r="O229" s="216">
        <f t="shared" si="77"/>
        <v>0</v>
      </c>
      <c r="P229" s="216">
        <f t="shared" si="77"/>
        <v>0</v>
      </c>
      <c r="Q229" s="216">
        <f t="shared" si="77"/>
        <v>0</v>
      </c>
      <c r="R229" s="216">
        <f t="shared" si="77"/>
        <v>0</v>
      </c>
      <c r="S229" s="216">
        <f t="shared" si="77"/>
        <v>0</v>
      </c>
      <c r="T229" s="216">
        <f t="shared" si="77"/>
        <v>0</v>
      </c>
      <c r="U229" s="216">
        <f t="shared" si="77"/>
        <v>0</v>
      </c>
      <c r="V229" s="216">
        <f t="shared" si="77"/>
        <v>0</v>
      </c>
      <c r="W229" s="216">
        <f t="shared" si="77"/>
        <v>0</v>
      </c>
      <c r="X229" s="216">
        <f t="shared" si="77"/>
        <v>0</v>
      </c>
      <c r="Y229" s="216">
        <f t="shared" si="77"/>
        <v>0</v>
      </c>
      <c r="Z229" s="216">
        <f t="shared" si="77"/>
        <v>0</v>
      </c>
      <c r="AA229" s="216">
        <f t="shared" si="77"/>
        <v>0</v>
      </c>
      <c r="AB229" s="216">
        <f t="shared" si="77"/>
        <v>0</v>
      </c>
      <c r="AC229" s="216">
        <f t="shared" si="77"/>
        <v>0</v>
      </c>
      <c r="AD229" s="216">
        <f t="shared" si="77"/>
        <v>0</v>
      </c>
      <c r="AE229" s="216">
        <f t="shared" si="77"/>
        <v>0</v>
      </c>
      <c r="AF229" s="216">
        <f t="shared" si="77"/>
        <v>0</v>
      </c>
      <c r="AG229" s="216">
        <f t="shared" si="77"/>
        <v>0</v>
      </c>
      <c r="AH229" s="39">
        <f t="shared" si="77"/>
        <v>13</v>
      </c>
      <c r="AI229" s="218">
        <f t="shared" si="64"/>
        <v>13</v>
      </c>
      <c r="AJ229" s="17">
        <f t="shared" si="66"/>
        <v>13</v>
      </c>
      <c r="AK229" s="21" t="s">
        <v>940</v>
      </c>
    </row>
    <row r="230">
      <c r="B230" s="16" t="s">
        <v>928</v>
      </c>
      <c r="C230" s="21" t="s">
        <v>92</v>
      </c>
      <c r="D230" s="216"/>
      <c r="E230" s="216"/>
      <c r="F230" s="216"/>
      <c r="G230" s="216"/>
      <c r="H230" s="216"/>
      <c r="I230" s="216"/>
      <c r="J230" s="216"/>
      <c r="K230" s="216"/>
      <c r="L230" s="216"/>
      <c r="M230" s="216"/>
      <c r="N230" s="216"/>
      <c r="O230" s="216"/>
      <c r="P230" s="216"/>
      <c r="Q230" s="216"/>
      <c r="R230" s="216"/>
      <c r="S230" s="216"/>
      <c r="T230" s="216"/>
      <c r="U230" s="216"/>
      <c r="V230" s="216"/>
      <c r="W230" s="216"/>
      <c r="X230" s="216"/>
      <c r="Y230" s="216"/>
      <c r="Z230" s="216"/>
      <c r="AA230" s="216"/>
      <c r="AB230" s="216"/>
      <c r="AC230" s="216"/>
      <c r="AD230" s="216"/>
      <c r="AE230" s="216"/>
      <c r="AF230" s="216"/>
      <c r="AG230" s="216"/>
      <c r="AH230" s="216"/>
      <c r="AI230" s="218">
        <f t="shared" si="64"/>
        <v>0</v>
      </c>
      <c r="AK230" s="21" t="s">
        <v>92</v>
      </c>
    </row>
    <row r="231">
      <c r="B231" s="16" t="s">
        <v>928</v>
      </c>
      <c r="C231" s="21" t="s">
        <v>93</v>
      </c>
      <c r="D231" s="216"/>
      <c r="E231" s="216"/>
      <c r="F231" s="216"/>
      <c r="G231" s="216"/>
      <c r="H231" s="216"/>
      <c r="I231" s="216"/>
      <c r="J231" s="216"/>
      <c r="K231" s="216"/>
      <c r="L231" s="216"/>
      <c r="M231" s="216"/>
      <c r="N231" s="216"/>
      <c r="O231" s="216"/>
      <c r="P231" s="216"/>
      <c r="Q231" s="216"/>
      <c r="R231" s="216"/>
      <c r="S231" s="216"/>
      <c r="T231" s="216"/>
      <c r="U231" s="216"/>
      <c r="V231" s="216"/>
      <c r="W231" s="216"/>
      <c r="X231" s="216"/>
      <c r="Y231" s="216"/>
      <c r="Z231" s="216"/>
      <c r="AA231" s="216"/>
      <c r="AB231" s="216"/>
      <c r="AC231" s="216"/>
      <c r="AD231" s="216"/>
      <c r="AE231" s="216"/>
      <c r="AF231" s="216"/>
      <c r="AG231" s="216"/>
      <c r="AH231" s="216"/>
      <c r="AI231" s="218">
        <f t="shared" si="64"/>
        <v>0</v>
      </c>
      <c r="AK231" s="21" t="s">
        <v>93</v>
      </c>
    </row>
    <row r="232">
      <c r="B232" s="16" t="s">
        <v>928</v>
      </c>
      <c r="C232" s="21" t="s">
        <v>60</v>
      </c>
      <c r="D232" s="216">
        <f t="shared" ref="D232:AH232" si="78">if($AJ$59=D$214,D48-D76,0)</f>
        <v>0</v>
      </c>
      <c r="E232" s="216">
        <f t="shared" si="78"/>
        <v>0</v>
      </c>
      <c r="F232" s="216">
        <f t="shared" si="78"/>
        <v>0</v>
      </c>
      <c r="G232" s="216">
        <f t="shared" si="78"/>
        <v>0</v>
      </c>
      <c r="H232" s="216">
        <f t="shared" si="78"/>
        <v>0</v>
      </c>
      <c r="I232" s="216">
        <f t="shared" si="78"/>
        <v>0</v>
      </c>
      <c r="J232" s="216">
        <f t="shared" si="78"/>
        <v>0</v>
      </c>
      <c r="K232" s="216">
        <f t="shared" si="78"/>
        <v>0</v>
      </c>
      <c r="L232" s="216">
        <f t="shared" si="78"/>
        <v>0</v>
      </c>
      <c r="M232" s="216">
        <f t="shared" si="78"/>
        <v>0</v>
      </c>
      <c r="N232" s="216">
        <f t="shared" si="78"/>
        <v>0</v>
      </c>
      <c r="O232" s="216">
        <f t="shared" si="78"/>
        <v>0</v>
      </c>
      <c r="P232" s="216">
        <f t="shared" si="78"/>
        <v>0</v>
      </c>
      <c r="Q232" s="216">
        <f t="shared" si="78"/>
        <v>0</v>
      </c>
      <c r="R232" s="216">
        <f t="shared" si="78"/>
        <v>0</v>
      </c>
      <c r="S232" s="216">
        <f t="shared" si="78"/>
        <v>0</v>
      </c>
      <c r="T232" s="216">
        <f t="shared" si="78"/>
        <v>0</v>
      </c>
      <c r="U232" s="216">
        <f t="shared" si="78"/>
        <v>0</v>
      </c>
      <c r="V232" s="216">
        <f t="shared" si="78"/>
        <v>0</v>
      </c>
      <c r="W232" s="216">
        <f t="shared" si="78"/>
        <v>0</v>
      </c>
      <c r="X232" s="216">
        <f t="shared" si="78"/>
        <v>0</v>
      </c>
      <c r="Y232" s="216">
        <f t="shared" si="78"/>
        <v>0</v>
      </c>
      <c r="Z232" s="216">
        <f t="shared" si="78"/>
        <v>0</v>
      </c>
      <c r="AA232" s="216">
        <f t="shared" si="78"/>
        <v>0</v>
      </c>
      <c r="AB232" s="216">
        <f t="shared" si="78"/>
        <v>0</v>
      </c>
      <c r="AC232" s="216">
        <f t="shared" si="78"/>
        <v>0</v>
      </c>
      <c r="AD232" s="216">
        <f t="shared" si="78"/>
        <v>0</v>
      </c>
      <c r="AE232" s="216">
        <f t="shared" si="78"/>
        <v>0</v>
      </c>
      <c r="AF232" s="216">
        <f t="shared" si="78"/>
        <v>0</v>
      </c>
      <c r="AG232" s="216">
        <f t="shared" si="78"/>
        <v>0</v>
      </c>
      <c r="AH232" s="39">
        <f t="shared" si="78"/>
        <v>-2</v>
      </c>
      <c r="AI232" s="218">
        <f t="shared" si="64"/>
        <v>-2</v>
      </c>
      <c r="AJ232" s="17">
        <f t="shared" ref="AJ232:AJ239" si="80">AI48-AI76</f>
        <v>-2</v>
      </c>
      <c r="AK232" s="21" t="s">
        <v>60</v>
      </c>
    </row>
    <row r="233">
      <c r="B233" s="16" t="s">
        <v>931</v>
      </c>
      <c r="C233" s="22" t="s">
        <v>44</v>
      </c>
      <c r="D233" s="216">
        <f t="shared" ref="D233:AH233" si="79">if($AJ$59=D$214,D49-D77,0)</f>
        <v>0</v>
      </c>
      <c r="E233" s="216">
        <f t="shared" si="79"/>
        <v>0</v>
      </c>
      <c r="F233" s="216">
        <f t="shared" si="79"/>
        <v>0</v>
      </c>
      <c r="G233" s="216">
        <f t="shared" si="79"/>
        <v>0</v>
      </c>
      <c r="H233" s="216">
        <f t="shared" si="79"/>
        <v>0</v>
      </c>
      <c r="I233" s="216">
        <f t="shared" si="79"/>
        <v>0</v>
      </c>
      <c r="J233" s="216">
        <f t="shared" si="79"/>
        <v>0</v>
      </c>
      <c r="K233" s="216">
        <f t="shared" si="79"/>
        <v>0</v>
      </c>
      <c r="L233" s="216">
        <f t="shared" si="79"/>
        <v>0</v>
      </c>
      <c r="M233" s="216">
        <f t="shared" si="79"/>
        <v>0</v>
      </c>
      <c r="N233" s="216">
        <f t="shared" si="79"/>
        <v>0</v>
      </c>
      <c r="O233" s="216">
        <f t="shared" si="79"/>
        <v>0</v>
      </c>
      <c r="P233" s="216">
        <f t="shared" si="79"/>
        <v>0</v>
      </c>
      <c r="Q233" s="216">
        <f t="shared" si="79"/>
        <v>0</v>
      </c>
      <c r="R233" s="216">
        <f t="shared" si="79"/>
        <v>0</v>
      </c>
      <c r="S233" s="216">
        <f t="shared" si="79"/>
        <v>0</v>
      </c>
      <c r="T233" s="216">
        <f t="shared" si="79"/>
        <v>0</v>
      </c>
      <c r="U233" s="216">
        <f t="shared" si="79"/>
        <v>0</v>
      </c>
      <c r="V233" s="216">
        <f t="shared" si="79"/>
        <v>0</v>
      </c>
      <c r="W233" s="216">
        <f t="shared" si="79"/>
        <v>0</v>
      </c>
      <c r="X233" s="216">
        <f t="shared" si="79"/>
        <v>0</v>
      </c>
      <c r="Y233" s="216">
        <f t="shared" si="79"/>
        <v>0</v>
      </c>
      <c r="Z233" s="216">
        <f t="shared" si="79"/>
        <v>0</v>
      </c>
      <c r="AA233" s="216">
        <f t="shared" si="79"/>
        <v>0</v>
      </c>
      <c r="AB233" s="216">
        <f t="shared" si="79"/>
        <v>0</v>
      </c>
      <c r="AC233" s="216">
        <f t="shared" si="79"/>
        <v>0</v>
      </c>
      <c r="AD233" s="216">
        <f t="shared" si="79"/>
        <v>0</v>
      </c>
      <c r="AE233" s="216">
        <f t="shared" si="79"/>
        <v>0</v>
      </c>
      <c r="AF233" s="216">
        <f t="shared" si="79"/>
        <v>0</v>
      </c>
      <c r="AG233" s="216">
        <f t="shared" si="79"/>
        <v>0</v>
      </c>
      <c r="AH233" s="39">
        <f t="shared" si="79"/>
        <v>34.5</v>
      </c>
      <c r="AI233" s="218">
        <f t="shared" si="64"/>
        <v>34.5</v>
      </c>
      <c r="AJ233" s="17">
        <f t="shared" si="80"/>
        <v>34.5</v>
      </c>
      <c r="AK233" s="22" t="s">
        <v>44</v>
      </c>
      <c r="AL233" s="22" t="s">
        <v>986</v>
      </c>
      <c r="AM233" s="17">
        <f>sum(D233:AH235)</f>
        <v>164.8</v>
      </c>
      <c r="AN233" s="17">
        <f>AJ233+AJ234+AJ235</f>
        <v>164.8</v>
      </c>
    </row>
    <row r="234">
      <c r="B234" s="16" t="s">
        <v>931</v>
      </c>
      <c r="C234" s="22" t="s">
        <v>987</v>
      </c>
      <c r="D234" s="216">
        <f t="shared" ref="D234:AH234" si="81">if($AJ$59=D$214,D50-D78,0)</f>
        <v>0</v>
      </c>
      <c r="E234" s="216">
        <f t="shared" si="81"/>
        <v>0</v>
      </c>
      <c r="F234" s="216">
        <f t="shared" si="81"/>
        <v>0</v>
      </c>
      <c r="G234" s="216">
        <f t="shared" si="81"/>
        <v>0</v>
      </c>
      <c r="H234" s="216">
        <f t="shared" si="81"/>
        <v>0</v>
      </c>
      <c r="I234" s="216">
        <f t="shared" si="81"/>
        <v>0</v>
      </c>
      <c r="J234" s="216">
        <f t="shared" si="81"/>
        <v>0</v>
      </c>
      <c r="K234" s="216">
        <f t="shared" si="81"/>
        <v>0</v>
      </c>
      <c r="L234" s="216">
        <f t="shared" si="81"/>
        <v>0</v>
      </c>
      <c r="M234" s="216">
        <f t="shared" si="81"/>
        <v>0</v>
      </c>
      <c r="N234" s="216">
        <f t="shared" si="81"/>
        <v>0</v>
      </c>
      <c r="O234" s="216">
        <f t="shared" si="81"/>
        <v>0</v>
      </c>
      <c r="P234" s="216">
        <f t="shared" si="81"/>
        <v>0</v>
      </c>
      <c r="Q234" s="216">
        <f t="shared" si="81"/>
        <v>0</v>
      </c>
      <c r="R234" s="216">
        <f t="shared" si="81"/>
        <v>0</v>
      </c>
      <c r="S234" s="216">
        <f t="shared" si="81"/>
        <v>0</v>
      </c>
      <c r="T234" s="216">
        <f t="shared" si="81"/>
        <v>0</v>
      </c>
      <c r="U234" s="216">
        <f t="shared" si="81"/>
        <v>0</v>
      </c>
      <c r="V234" s="216">
        <f t="shared" si="81"/>
        <v>0</v>
      </c>
      <c r="W234" s="216">
        <f t="shared" si="81"/>
        <v>0</v>
      </c>
      <c r="X234" s="216">
        <f t="shared" si="81"/>
        <v>0</v>
      </c>
      <c r="Y234" s="216">
        <f t="shared" si="81"/>
        <v>0</v>
      </c>
      <c r="Z234" s="216">
        <f t="shared" si="81"/>
        <v>0</v>
      </c>
      <c r="AA234" s="216">
        <f t="shared" si="81"/>
        <v>0</v>
      </c>
      <c r="AB234" s="216">
        <f t="shared" si="81"/>
        <v>0</v>
      </c>
      <c r="AC234" s="216">
        <f t="shared" si="81"/>
        <v>0</v>
      </c>
      <c r="AD234" s="216">
        <f t="shared" si="81"/>
        <v>0</v>
      </c>
      <c r="AE234" s="216">
        <f t="shared" si="81"/>
        <v>0</v>
      </c>
      <c r="AF234" s="216">
        <f t="shared" si="81"/>
        <v>0</v>
      </c>
      <c r="AG234" s="216">
        <f t="shared" si="81"/>
        <v>0</v>
      </c>
      <c r="AH234" s="39">
        <f t="shared" si="81"/>
        <v>9.9</v>
      </c>
      <c r="AI234" s="218">
        <f t="shared" si="64"/>
        <v>9.9</v>
      </c>
      <c r="AJ234" s="17">
        <f t="shared" si="80"/>
        <v>9.9</v>
      </c>
      <c r="AK234" s="22" t="s">
        <v>987</v>
      </c>
    </row>
    <row r="235">
      <c r="B235" s="16" t="s">
        <v>931</v>
      </c>
      <c r="C235" s="22" t="s">
        <v>933</v>
      </c>
      <c r="D235" s="216">
        <f t="shared" ref="D235:AH235" si="82">if($AJ$59=D$214,D51-D79,0)</f>
        <v>0</v>
      </c>
      <c r="E235" s="216">
        <f t="shared" si="82"/>
        <v>0</v>
      </c>
      <c r="F235" s="216">
        <f t="shared" si="82"/>
        <v>0</v>
      </c>
      <c r="G235" s="216">
        <f t="shared" si="82"/>
        <v>0</v>
      </c>
      <c r="H235" s="216">
        <f t="shared" si="82"/>
        <v>0</v>
      </c>
      <c r="I235" s="216">
        <f t="shared" si="82"/>
        <v>0</v>
      </c>
      <c r="J235" s="216">
        <f t="shared" si="82"/>
        <v>0</v>
      </c>
      <c r="K235" s="216">
        <f t="shared" si="82"/>
        <v>0</v>
      </c>
      <c r="L235" s="216">
        <f t="shared" si="82"/>
        <v>0</v>
      </c>
      <c r="M235" s="216">
        <f t="shared" si="82"/>
        <v>0</v>
      </c>
      <c r="N235" s="216">
        <f t="shared" si="82"/>
        <v>0</v>
      </c>
      <c r="O235" s="216">
        <f t="shared" si="82"/>
        <v>0</v>
      </c>
      <c r="P235" s="216">
        <f t="shared" si="82"/>
        <v>0</v>
      </c>
      <c r="Q235" s="216">
        <f t="shared" si="82"/>
        <v>0</v>
      </c>
      <c r="R235" s="216">
        <f t="shared" si="82"/>
        <v>0</v>
      </c>
      <c r="S235" s="216">
        <f t="shared" si="82"/>
        <v>0</v>
      </c>
      <c r="T235" s="216">
        <f t="shared" si="82"/>
        <v>0</v>
      </c>
      <c r="U235" s="216">
        <f t="shared" si="82"/>
        <v>0</v>
      </c>
      <c r="V235" s="216">
        <f t="shared" si="82"/>
        <v>0</v>
      </c>
      <c r="W235" s="216">
        <f t="shared" si="82"/>
        <v>0</v>
      </c>
      <c r="X235" s="216">
        <f t="shared" si="82"/>
        <v>0</v>
      </c>
      <c r="Y235" s="216">
        <f t="shared" si="82"/>
        <v>0</v>
      </c>
      <c r="Z235" s="216">
        <f t="shared" si="82"/>
        <v>0</v>
      </c>
      <c r="AA235" s="216">
        <f t="shared" si="82"/>
        <v>0</v>
      </c>
      <c r="AB235" s="216">
        <f t="shared" si="82"/>
        <v>0</v>
      </c>
      <c r="AC235" s="216">
        <f t="shared" si="82"/>
        <v>0</v>
      </c>
      <c r="AD235" s="216">
        <f t="shared" si="82"/>
        <v>0</v>
      </c>
      <c r="AE235" s="216">
        <f t="shared" si="82"/>
        <v>0</v>
      </c>
      <c r="AF235" s="216">
        <f t="shared" si="82"/>
        <v>0</v>
      </c>
      <c r="AG235" s="216">
        <f t="shared" si="82"/>
        <v>0</v>
      </c>
      <c r="AH235" s="39">
        <f t="shared" si="82"/>
        <v>120.4</v>
      </c>
      <c r="AI235" s="218">
        <f t="shared" si="64"/>
        <v>120.4</v>
      </c>
      <c r="AJ235" s="17">
        <f t="shared" si="80"/>
        <v>120.4</v>
      </c>
      <c r="AK235" s="22" t="s">
        <v>933</v>
      </c>
    </row>
    <row r="236">
      <c r="B236" s="16" t="s">
        <v>934</v>
      </c>
      <c r="C236" s="16" t="s">
        <v>9</v>
      </c>
      <c r="D236" s="216">
        <f t="shared" ref="D236:AH236" si="83">if($AJ$59=D$214,D52-D80,0)</f>
        <v>0</v>
      </c>
      <c r="E236" s="216">
        <f t="shared" si="83"/>
        <v>0</v>
      </c>
      <c r="F236" s="216">
        <f t="shared" si="83"/>
        <v>0</v>
      </c>
      <c r="G236" s="216">
        <f t="shared" si="83"/>
        <v>0</v>
      </c>
      <c r="H236" s="216">
        <f t="shared" si="83"/>
        <v>0</v>
      </c>
      <c r="I236" s="216">
        <f t="shared" si="83"/>
        <v>0</v>
      </c>
      <c r="J236" s="216">
        <f t="shared" si="83"/>
        <v>0</v>
      </c>
      <c r="K236" s="216">
        <f t="shared" si="83"/>
        <v>0</v>
      </c>
      <c r="L236" s="216">
        <f t="shared" si="83"/>
        <v>0</v>
      </c>
      <c r="M236" s="216">
        <f t="shared" si="83"/>
        <v>0</v>
      </c>
      <c r="N236" s="216">
        <f t="shared" si="83"/>
        <v>0</v>
      </c>
      <c r="O236" s="216">
        <f t="shared" si="83"/>
        <v>0</v>
      </c>
      <c r="P236" s="216">
        <f t="shared" si="83"/>
        <v>0</v>
      </c>
      <c r="Q236" s="216">
        <f t="shared" si="83"/>
        <v>0</v>
      </c>
      <c r="R236" s="216">
        <f t="shared" si="83"/>
        <v>0</v>
      </c>
      <c r="S236" s="216">
        <f t="shared" si="83"/>
        <v>0</v>
      </c>
      <c r="T236" s="216">
        <f t="shared" si="83"/>
        <v>0</v>
      </c>
      <c r="U236" s="216">
        <f t="shared" si="83"/>
        <v>0</v>
      </c>
      <c r="V236" s="216">
        <f t="shared" si="83"/>
        <v>0</v>
      </c>
      <c r="W236" s="216">
        <f t="shared" si="83"/>
        <v>0</v>
      </c>
      <c r="X236" s="216">
        <f t="shared" si="83"/>
        <v>0</v>
      </c>
      <c r="Y236" s="216">
        <f t="shared" si="83"/>
        <v>0</v>
      </c>
      <c r="Z236" s="216">
        <f t="shared" si="83"/>
        <v>0</v>
      </c>
      <c r="AA236" s="216">
        <f t="shared" si="83"/>
        <v>0</v>
      </c>
      <c r="AB236" s="216">
        <f t="shared" si="83"/>
        <v>0</v>
      </c>
      <c r="AC236" s="216">
        <f t="shared" si="83"/>
        <v>0</v>
      </c>
      <c r="AD236" s="216">
        <f t="shared" si="83"/>
        <v>0</v>
      </c>
      <c r="AE236" s="216">
        <f t="shared" si="83"/>
        <v>0</v>
      </c>
      <c r="AF236" s="216">
        <f t="shared" si="83"/>
        <v>0</v>
      </c>
      <c r="AG236" s="216">
        <f t="shared" si="83"/>
        <v>0</v>
      </c>
      <c r="AH236" s="39">
        <f t="shared" si="83"/>
        <v>-238.67</v>
      </c>
      <c r="AI236" s="218">
        <f t="shared" si="64"/>
        <v>-238.67</v>
      </c>
      <c r="AJ236" s="17">
        <f t="shared" si="80"/>
        <v>-238.67</v>
      </c>
      <c r="AK236" s="16" t="s">
        <v>9</v>
      </c>
      <c r="AL236" s="16" t="s">
        <v>9</v>
      </c>
      <c r="AM236" s="17">
        <f>sum(D236:AH239)</f>
        <v>-292.67</v>
      </c>
      <c r="AN236" s="17">
        <f>AJ236+AJ237+AJ238+AJ239</f>
        <v>-292.67</v>
      </c>
    </row>
    <row r="237">
      <c r="B237" s="16" t="s">
        <v>934</v>
      </c>
      <c r="C237" s="16" t="s">
        <v>936</v>
      </c>
      <c r="D237" s="216">
        <f t="shared" ref="D237:AH237" si="84">if($AJ$59=D$214,D53-D81,0)</f>
        <v>0</v>
      </c>
      <c r="E237" s="216">
        <f t="shared" si="84"/>
        <v>0</v>
      </c>
      <c r="F237" s="216">
        <f t="shared" si="84"/>
        <v>0</v>
      </c>
      <c r="G237" s="216">
        <f t="shared" si="84"/>
        <v>0</v>
      </c>
      <c r="H237" s="216">
        <f t="shared" si="84"/>
        <v>0</v>
      </c>
      <c r="I237" s="216">
        <f t="shared" si="84"/>
        <v>0</v>
      </c>
      <c r="J237" s="216">
        <f t="shared" si="84"/>
        <v>0</v>
      </c>
      <c r="K237" s="216">
        <f t="shared" si="84"/>
        <v>0</v>
      </c>
      <c r="L237" s="216">
        <f t="shared" si="84"/>
        <v>0</v>
      </c>
      <c r="M237" s="216">
        <f t="shared" si="84"/>
        <v>0</v>
      </c>
      <c r="N237" s="216">
        <f t="shared" si="84"/>
        <v>0</v>
      </c>
      <c r="O237" s="216">
        <f t="shared" si="84"/>
        <v>0</v>
      </c>
      <c r="P237" s="216">
        <f t="shared" si="84"/>
        <v>0</v>
      </c>
      <c r="Q237" s="216">
        <f t="shared" si="84"/>
        <v>0</v>
      </c>
      <c r="R237" s="216">
        <f t="shared" si="84"/>
        <v>0</v>
      </c>
      <c r="S237" s="216">
        <f t="shared" si="84"/>
        <v>0</v>
      </c>
      <c r="T237" s="216">
        <f t="shared" si="84"/>
        <v>0</v>
      </c>
      <c r="U237" s="216">
        <f t="shared" si="84"/>
        <v>0</v>
      </c>
      <c r="V237" s="216">
        <f t="shared" si="84"/>
        <v>0</v>
      </c>
      <c r="W237" s="216">
        <f t="shared" si="84"/>
        <v>0</v>
      </c>
      <c r="X237" s="216">
        <f t="shared" si="84"/>
        <v>0</v>
      </c>
      <c r="Y237" s="216">
        <f t="shared" si="84"/>
        <v>0</v>
      </c>
      <c r="Z237" s="216">
        <f t="shared" si="84"/>
        <v>0</v>
      </c>
      <c r="AA237" s="216">
        <f t="shared" si="84"/>
        <v>0</v>
      </c>
      <c r="AB237" s="216">
        <f t="shared" si="84"/>
        <v>0</v>
      </c>
      <c r="AC237" s="216">
        <f t="shared" si="84"/>
        <v>0</v>
      </c>
      <c r="AD237" s="216">
        <f t="shared" si="84"/>
        <v>0</v>
      </c>
      <c r="AE237" s="216">
        <f t="shared" si="84"/>
        <v>0</v>
      </c>
      <c r="AF237" s="216">
        <f t="shared" si="84"/>
        <v>0</v>
      </c>
      <c r="AG237" s="216">
        <f t="shared" si="84"/>
        <v>0</v>
      </c>
      <c r="AH237" s="39">
        <f t="shared" si="84"/>
        <v>129</v>
      </c>
      <c r="AI237" s="218">
        <f t="shared" si="64"/>
        <v>129</v>
      </c>
      <c r="AJ237" s="17">
        <f t="shared" si="80"/>
        <v>129</v>
      </c>
      <c r="AK237" s="16" t="s">
        <v>936</v>
      </c>
    </row>
    <row r="238">
      <c r="B238" s="16" t="s">
        <v>934</v>
      </c>
      <c r="C238" s="16" t="s">
        <v>947</v>
      </c>
      <c r="D238" s="216">
        <f t="shared" ref="D238:AH238" si="85">if($AJ$59=D$214,D54-D82,0)</f>
        <v>0</v>
      </c>
      <c r="E238" s="216">
        <f t="shared" si="85"/>
        <v>0</v>
      </c>
      <c r="F238" s="216">
        <f t="shared" si="85"/>
        <v>0</v>
      </c>
      <c r="G238" s="216">
        <f t="shared" si="85"/>
        <v>0</v>
      </c>
      <c r="H238" s="216">
        <f t="shared" si="85"/>
        <v>0</v>
      </c>
      <c r="I238" s="216">
        <f t="shared" si="85"/>
        <v>0</v>
      </c>
      <c r="J238" s="216">
        <f t="shared" si="85"/>
        <v>0</v>
      </c>
      <c r="K238" s="216">
        <f t="shared" si="85"/>
        <v>0</v>
      </c>
      <c r="L238" s="216">
        <f t="shared" si="85"/>
        <v>0</v>
      </c>
      <c r="M238" s="216">
        <f t="shared" si="85"/>
        <v>0</v>
      </c>
      <c r="N238" s="216">
        <f t="shared" si="85"/>
        <v>0</v>
      </c>
      <c r="O238" s="216">
        <f t="shared" si="85"/>
        <v>0</v>
      </c>
      <c r="P238" s="216">
        <f t="shared" si="85"/>
        <v>0</v>
      </c>
      <c r="Q238" s="216">
        <f t="shared" si="85"/>
        <v>0</v>
      </c>
      <c r="R238" s="216">
        <f t="shared" si="85"/>
        <v>0</v>
      </c>
      <c r="S238" s="216">
        <f t="shared" si="85"/>
        <v>0</v>
      </c>
      <c r="T238" s="216">
        <f t="shared" si="85"/>
        <v>0</v>
      </c>
      <c r="U238" s="216">
        <f t="shared" si="85"/>
        <v>0</v>
      </c>
      <c r="V238" s="216">
        <f t="shared" si="85"/>
        <v>0</v>
      </c>
      <c r="W238" s="216">
        <f t="shared" si="85"/>
        <v>0</v>
      </c>
      <c r="X238" s="216">
        <f t="shared" si="85"/>
        <v>0</v>
      </c>
      <c r="Y238" s="216">
        <f t="shared" si="85"/>
        <v>0</v>
      </c>
      <c r="Z238" s="216">
        <f t="shared" si="85"/>
        <v>0</v>
      </c>
      <c r="AA238" s="216">
        <f t="shared" si="85"/>
        <v>0</v>
      </c>
      <c r="AB238" s="216">
        <f t="shared" si="85"/>
        <v>0</v>
      </c>
      <c r="AC238" s="216">
        <f t="shared" si="85"/>
        <v>0</v>
      </c>
      <c r="AD238" s="216">
        <f t="shared" si="85"/>
        <v>0</v>
      </c>
      <c r="AE238" s="216">
        <f t="shared" si="85"/>
        <v>0</v>
      </c>
      <c r="AF238" s="216">
        <f t="shared" si="85"/>
        <v>0</v>
      </c>
      <c r="AG238" s="216">
        <f t="shared" si="85"/>
        <v>0</v>
      </c>
      <c r="AH238" s="39">
        <f t="shared" si="85"/>
        <v>-92</v>
      </c>
      <c r="AI238" s="218">
        <f t="shared" si="64"/>
        <v>-92</v>
      </c>
      <c r="AJ238" s="17">
        <f t="shared" si="80"/>
        <v>-92</v>
      </c>
      <c r="AK238" s="16" t="s">
        <v>947</v>
      </c>
    </row>
    <row r="239">
      <c r="B239" s="16" t="s">
        <v>934</v>
      </c>
      <c r="C239" s="16" t="s">
        <v>948</v>
      </c>
      <c r="D239" s="216">
        <f t="shared" ref="D239:AH239" si="86">if($AJ$59=D$214,D55-D83,0)</f>
        <v>0</v>
      </c>
      <c r="E239" s="216">
        <f t="shared" si="86"/>
        <v>0</v>
      </c>
      <c r="F239" s="216">
        <f t="shared" si="86"/>
        <v>0</v>
      </c>
      <c r="G239" s="216">
        <f t="shared" si="86"/>
        <v>0</v>
      </c>
      <c r="H239" s="216">
        <f t="shared" si="86"/>
        <v>0</v>
      </c>
      <c r="I239" s="216">
        <f t="shared" si="86"/>
        <v>0</v>
      </c>
      <c r="J239" s="216">
        <f t="shared" si="86"/>
        <v>0</v>
      </c>
      <c r="K239" s="216">
        <f t="shared" si="86"/>
        <v>0</v>
      </c>
      <c r="L239" s="216">
        <f t="shared" si="86"/>
        <v>0</v>
      </c>
      <c r="M239" s="216">
        <f t="shared" si="86"/>
        <v>0</v>
      </c>
      <c r="N239" s="216">
        <f t="shared" si="86"/>
        <v>0</v>
      </c>
      <c r="O239" s="216">
        <f t="shared" si="86"/>
        <v>0</v>
      </c>
      <c r="P239" s="216">
        <f t="shared" si="86"/>
        <v>0</v>
      </c>
      <c r="Q239" s="216">
        <f t="shared" si="86"/>
        <v>0</v>
      </c>
      <c r="R239" s="216">
        <f t="shared" si="86"/>
        <v>0</v>
      </c>
      <c r="S239" s="216">
        <f t="shared" si="86"/>
        <v>0</v>
      </c>
      <c r="T239" s="216">
        <f t="shared" si="86"/>
        <v>0</v>
      </c>
      <c r="U239" s="216">
        <f t="shared" si="86"/>
        <v>0</v>
      </c>
      <c r="V239" s="216">
        <f t="shared" si="86"/>
        <v>0</v>
      </c>
      <c r="W239" s="216">
        <f t="shared" si="86"/>
        <v>0</v>
      </c>
      <c r="X239" s="216">
        <f t="shared" si="86"/>
        <v>0</v>
      </c>
      <c r="Y239" s="216">
        <f t="shared" si="86"/>
        <v>0</v>
      </c>
      <c r="Z239" s="216">
        <f t="shared" si="86"/>
        <v>0</v>
      </c>
      <c r="AA239" s="216">
        <f t="shared" si="86"/>
        <v>0</v>
      </c>
      <c r="AB239" s="216">
        <f t="shared" si="86"/>
        <v>0</v>
      </c>
      <c r="AC239" s="216">
        <f t="shared" si="86"/>
        <v>0</v>
      </c>
      <c r="AD239" s="216">
        <f t="shared" si="86"/>
        <v>0</v>
      </c>
      <c r="AE239" s="216">
        <f t="shared" si="86"/>
        <v>0</v>
      </c>
      <c r="AF239" s="216">
        <f t="shared" si="86"/>
        <v>0</v>
      </c>
      <c r="AG239" s="216">
        <f t="shared" si="86"/>
        <v>0</v>
      </c>
      <c r="AH239" s="39">
        <f t="shared" si="86"/>
        <v>-91</v>
      </c>
      <c r="AI239" s="218">
        <f t="shared" si="64"/>
        <v>-91</v>
      </c>
      <c r="AJ239" s="17">
        <f t="shared" si="80"/>
        <v>-91</v>
      </c>
      <c r="AK239" s="16" t="s">
        <v>948</v>
      </c>
    </row>
    <row r="240">
      <c r="C240" s="15" t="s">
        <v>130</v>
      </c>
      <c r="D240" s="218">
        <f t="shared" ref="D240:AH240" si="87">sum(D216:D239)</f>
        <v>0</v>
      </c>
      <c r="E240" s="218">
        <f t="shared" si="87"/>
        <v>0</v>
      </c>
      <c r="F240" s="218">
        <f t="shared" si="87"/>
        <v>0</v>
      </c>
      <c r="G240" s="218">
        <f t="shared" si="87"/>
        <v>0</v>
      </c>
      <c r="H240" s="218">
        <f t="shared" si="87"/>
        <v>0</v>
      </c>
      <c r="I240" s="218">
        <f t="shared" si="87"/>
        <v>0</v>
      </c>
      <c r="J240" s="218">
        <f t="shared" si="87"/>
        <v>0</v>
      </c>
      <c r="K240" s="218">
        <f t="shared" si="87"/>
        <v>0</v>
      </c>
      <c r="L240" s="218">
        <f t="shared" si="87"/>
        <v>0</v>
      </c>
      <c r="M240" s="218">
        <f t="shared" si="87"/>
        <v>0</v>
      </c>
      <c r="N240" s="218">
        <f t="shared" si="87"/>
        <v>0</v>
      </c>
      <c r="O240" s="218">
        <f t="shared" si="87"/>
        <v>0</v>
      </c>
      <c r="P240" s="218">
        <f t="shared" si="87"/>
        <v>0</v>
      </c>
      <c r="Q240" s="218">
        <f t="shared" si="87"/>
        <v>0</v>
      </c>
      <c r="R240" s="218">
        <f t="shared" si="87"/>
        <v>0</v>
      </c>
      <c r="S240" s="218">
        <f t="shared" si="87"/>
        <v>0</v>
      </c>
      <c r="T240" s="218">
        <f t="shared" si="87"/>
        <v>0</v>
      </c>
      <c r="U240" s="218">
        <f t="shared" si="87"/>
        <v>0</v>
      </c>
      <c r="V240" s="218">
        <f t="shared" si="87"/>
        <v>0</v>
      </c>
      <c r="W240" s="218">
        <f t="shared" si="87"/>
        <v>0</v>
      </c>
      <c r="X240" s="218">
        <f t="shared" si="87"/>
        <v>0</v>
      </c>
      <c r="Y240" s="218">
        <f t="shared" si="87"/>
        <v>0</v>
      </c>
      <c r="Z240" s="218">
        <f t="shared" si="87"/>
        <v>0</v>
      </c>
      <c r="AA240" s="218">
        <f t="shared" si="87"/>
        <v>0</v>
      </c>
      <c r="AB240" s="218">
        <f t="shared" si="87"/>
        <v>0</v>
      </c>
      <c r="AC240" s="218">
        <f t="shared" si="87"/>
        <v>0</v>
      </c>
      <c r="AD240" s="218">
        <f t="shared" si="87"/>
        <v>0</v>
      </c>
      <c r="AE240" s="218">
        <f t="shared" si="87"/>
        <v>0</v>
      </c>
      <c r="AF240" s="218">
        <f t="shared" si="87"/>
        <v>0</v>
      </c>
      <c r="AG240" s="218">
        <f t="shared" si="87"/>
        <v>0</v>
      </c>
      <c r="AH240" s="218">
        <f t="shared" si="87"/>
        <v>375.13</v>
      </c>
      <c r="AI240" s="147"/>
      <c r="AJ240" s="218">
        <f>sum(AJ217:AJ239)</f>
        <v>375.13</v>
      </c>
      <c r="AM240" s="24">
        <f t="shared" ref="AM240:AN240" si="88">sum(AM216:AM239)</f>
        <v>375.13</v>
      </c>
      <c r="AN240" s="24">
        <f t="shared" si="88"/>
        <v>375.13</v>
      </c>
    </row>
    <row r="241"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224"/>
    </row>
    <row r="242"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</row>
    <row r="243">
      <c r="C243" s="225" t="s">
        <v>7</v>
      </c>
      <c r="D243" s="216">
        <f t="shared" ref="D243:AH243" si="89">if($AJ$59=D$214,D32-D60,0)</f>
        <v>0</v>
      </c>
      <c r="E243" s="216">
        <f t="shared" si="89"/>
        <v>0</v>
      </c>
      <c r="F243" s="216">
        <f t="shared" si="89"/>
        <v>0</v>
      </c>
      <c r="G243" s="216">
        <f t="shared" si="89"/>
        <v>0</v>
      </c>
      <c r="H243" s="216">
        <f t="shared" si="89"/>
        <v>0</v>
      </c>
      <c r="I243" s="216">
        <f t="shared" si="89"/>
        <v>0</v>
      </c>
      <c r="J243" s="216">
        <f t="shared" si="89"/>
        <v>0</v>
      </c>
      <c r="K243" s="216">
        <f t="shared" si="89"/>
        <v>0</v>
      </c>
      <c r="L243" s="216">
        <f t="shared" si="89"/>
        <v>0</v>
      </c>
      <c r="M243" s="216">
        <f t="shared" si="89"/>
        <v>0</v>
      </c>
      <c r="N243" s="216">
        <f t="shared" si="89"/>
        <v>0</v>
      </c>
      <c r="O243" s="216">
        <f t="shared" si="89"/>
        <v>0</v>
      </c>
      <c r="P243" s="216">
        <f t="shared" si="89"/>
        <v>0</v>
      </c>
      <c r="Q243" s="216">
        <f t="shared" si="89"/>
        <v>0</v>
      </c>
      <c r="R243" s="216">
        <f t="shared" si="89"/>
        <v>0</v>
      </c>
      <c r="S243" s="216">
        <f t="shared" si="89"/>
        <v>0</v>
      </c>
      <c r="T243" s="216">
        <f t="shared" si="89"/>
        <v>0</v>
      </c>
      <c r="U243" s="216">
        <f t="shared" si="89"/>
        <v>0</v>
      </c>
      <c r="V243" s="216">
        <f t="shared" si="89"/>
        <v>0</v>
      </c>
      <c r="W243" s="216">
        <f t="shared" si="89"/>
        <v>0</v>
      </c>
      <c r="X243" s="216">
        <f t="shared" si="89"/>
        <v>0</v>
      </c>
      <c r="Y243" s="216">
        <f t="shared" si="89"/>
        <v>0</v>
      </c>
      <c r="Z243" s="216">
        <f t="shared" si="89"/>
        <v>0</v>
      </c>
      <c r="AA243" s="216">
        <f t="shared" si="89"/>
        <v>0</v>
      </c>
      <c r="AB243" s="216">
        <f t="shared" si="89"/>
        <v>0</v>
      </c>
      <c r="AC243" s="216">
        <f t="shared" si="89"/>
        <v>0</v>
      </c>
      <c r="AD243" s="216">
        <f t="shared" si="89"/>
        <v>0</v>
      </c>
      <c r="AE243" s="216">
        <f t="shared" si="89"/>
        <v>0</v>
      </c>
      <c r="AF243" s="216">
        <f t="shared" si="89"/>
        <v>0</v>
      </c>
      <c r="AG243" s="216">
        <f t="shared" si="89"/>
        <v>0</v>
      </c>
      <c r="AH243" s="39">
        <f t="shared" si="89"/>
        <v>0</v>
      </c>
      <c r="AI243" s="218">
        <f t="shared" ref="AI243:AI245" si="91">SUM(D243:AH243)</f>
        <v>0</v>
      </c>
      <c r="AJ243" s="17">
        <f>AI32-AI60</f>
        <v>0</v>
      </c>
    </row>
    <row r="244">
      <c r="C244" s="226" t="s">
        <v>92</v>
      </c>
      <c r="D244" s="216">
        <f t="shared" ref="D244:AH244" si="90">if($AJ$59=D$214,D46-D74,0)</f>
        <v>0</v>
      </c>
      <c r="E244" s="216">
        <f t="shared" si="90"/>
        <v>0</v>
      </c>
      <c r="F244" s="216">
        <f t="shared" si="90"/>
        <v>0</v>
      </c>
      <c r="G244" s="216">
        <f t="shared" si="90"/>
        <v>0</v>
      </c>
      <c r="H244" s="216">
        <f t="shared" si="90"/>
        <v>0</v>
      </c>
      <c r="I244" s="216">
        <f t="shared" si="90"/>
        <v>0</v>
      </c>
      <c r="J244" s="216">
        <f t="shared" si="90"/>
        <v>0</v>
      </c>
      <c r="K244" s="216">
        <f t="shared" si="90"/>
        <v>0</v>
      </c>
      <c r="L244" s="216">
        <f t="shared" si="90"/>
        <v>0</v>
      </c>
      <c r="M244" s="216">
        <f t="shared" si="90"/>
        <v>0</v>
      </c>
      <c r="N244" s="216">
        <f t="shared" si="90"/>
        <v>0</v>
      </c>
      <c r="O244" s="216">
        <f t="shared" si="90"/>
        <v>0</v>
      </c>
      <c r="P244" s="216">
        <f t="shared" si="90"/>
        <v>0</v>
      </c>
      <c r="Q244" s="216">
        <f t="shared" si="90"/>
        <v>0</v>
      </c>
      <c r="R244" s="216">
        <f t="shared" si="90"/>
        <v>0</v>
      </c>
      <c r="S244" s="216">
        <f t="shared" si="90"/>
        <v>0</v>
      </c>
      <c r="T244" s="216">
        <f t="shared" si="90"/>
        <v>0</v>
      </c>
      <c r="U244" s="216">
        <f t="shared" si="90"/>
        <v>0</v>
      </c>
      <c r="V244" s="216">
        <f t="shared" si="90"/>
        <v>0</v>
      </c>
      <c r="W244" s="216">
        <f t="shared" si="90"/>
        <v>0</v>
      </c>
      <c r="X244" s="216">
        <f t="shared" si="90"/>
        <v>0</v>
      </c>
      <c r="Y244" s="216">
        <f t="shared" si="90"/>
        <v>0</v>
      </c>
      <c r="Z244" s="216">
        <f t="shared" si="90"/>
        <v>0</v>
      </c>
      <c r="AA244" s="216">
        <f t="shared" si="90"/>
        <v>0</v>
      </c>
      <c r="AB244" s="216">
        <f t="shared" si="90"/>
        <v>0</v>
      </c>
      <c r="AC244" s="216">
        <f t="shared" si="90"/>
        <v>0</v>
      </c>
      <c r="AD244" s="216">
        <f t="shared" si="90"/>
        <v>0</v>
      </c>
      <c r="AE244" s="216">
        <f t="shared" si="90"/>
        <v>0</v>
      </c>
      <c r="AF244" s="216">
        <f t="shared" si="90"/>
        <v>0</v>
      </c>
      <c r="AG244" s="216">
        <f t="shared" si="90"/>
        <v>0</v>
      </c>
      <c r="AH244" s="39">
        <f t="shared" si="90"/>
        <v>0</v>
      </c>
      <c r="AI244" s="218">
        <f t="shared" si="91"/>
        <v>0</v>
      </c>
      <c r="AJ244" s="17">
        <f t="shared" ref="AJ244:AJ245" si="93">AI46-AI74</f>
        <v>0</v>
      </c>
    </row>
    <row r="245">
      <c r="C245" s="226" t="s">
        <v>93</v>
      </c>
      <c r="D245" s="216">
        <f t="shared" ref="D245:AH245" si="92">if($AJ$59=D$214,D47-D75,0)</f>
        <v>0</v>
      </c>
      <c r="E245" s="216">
        <f t="shared" si="92"/>
        <v>0</v>
      </c>
      <c r="F245" s="216">
        <f t="shared" si="92"/>
        <v>0</v>
      </c>
      <c r="G245" s="216">
        <f t="shared" si="92"/>
        <v>0</v>
      </c>
      <c r="H245" s="216">
        <f t="shared" si="92"/>
        <v>0</v>
      </c>
      <c r="I245" s="216">
        <f t="shared" si="92"/>
        <v>0</v>
      </c>
      <c r="J245" s="216">
        <f t="shared" si="92"/>
        <v>0</v>
      </c>
      <c r="K245" s="216">
        <f t="shared" si="92"/>
        <v>0</v>
      </c>
      <c r="L245" s="216">
        <f t="shared" si="92"/>
        <v>0</v>
      </c>
      <c r="M245" s="216">
        <f t="shared" si="92"/>
        <v>0</v>
      </c>
      <c r="N245" s="216">
        <f t="shared" si="92"/>
        <v>0</v>
      </c>
      <c r="O245" s="216">
        <f t="shared" si="92"/>
        <v>0</v>
      </c>
      <c r="P245" s="216">
        <f t="shared" si="92"/>
        <v>0</v>
      </c>
      <c r="Q245" s="216">
        <f t="shared" si="92"/>
        <v>0</v>
      </c>
      <c r="R245" s="216">
        <f t="shared" si="92"/>
        <v>0</v>
      </c>
      <c r="S245" s="216">
        <f t="shared" si="92"/>
        <v>0</v>
      </c>
      <c r="T245" s="216">
        <f t="shared" si="92"/>
        <v>0</v>
      </c>
      <c r="U245" s="216">
        <f t="shared" si="92"/>
        <v>0</v>
      </c>
      <c r="V245" s="216">
        <f t="shared" si="92"/>
        <v>0</v>
      </c>
      <c r="W245" s="216">
        <f t="shared" si="92"/>
        <v>0</v>
      </c>
      <c r="X245" s="216">
        <f t="shared" si="92"/>
        <v>0</v>
      </c>
      <c r="Y245" s="216">
        <f t="shared" si="92"/>
        <v>0</v>
      </c>
      <c r="Z245" s="216">
        <f t="shared" si="92"/>
        <v>0</v>
      </c>
      <c r="AA245" s="216">
        <f t="shared" si="92"/>
        <v>0</v>
      </c>
      <c r="AB245" s="216">
        <f t="shared" si="92"/>
        <v>0</v>
      </c>
      <c r="AC245" s="216">
        <f t="shared" si="92"/>
        <v>0</v>
      </c>
      <c r="AD245" s="216">
        <f t="shared" si="92"/>
        <v>0</v>
      </c>
      <c r="AE245" s="216">
        <f t="shared" si="92"/>
        <v>0</v>
      </c>
      <c r="AF245" s="216">
        <f t="shared" si="92"/>
        <v>0</v>
      </c>
      <c r="AG245" s="216">
        <f t="shared" si="92"/>
        <v>0</v>
      </c>
      <c r="AH245" s="39">
        <f t="shared" si="92"/>
        <v>0</v>
      </c>
      <c r="AI245" s="218">
        <f t="shared" si="91"/>
        <v>0</v>
      </c>
      <c r="AJ245" s="17">
        <f t="shared" si="93"/>
        <v>0</v>
      </c>
    </row>
    <row r="246"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</row>
    <row r="247"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</row>
    <row r="248"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</row>
    <row r="249"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</row>
    <row r="250"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</row>
    <row r="251"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</row>
    <row r="252"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</row>
    <row r="253"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</row>
    <row r="254"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</row>
    <row r="255"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</row>
    <row r="256"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</row>
    <row r="257"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</row>
    <row r="258"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</row>
    <row r="259"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</row>
    <row r="260"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</row>
    <row r="261"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</row>
    <row r="262"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</row>
    <row r="263"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</row>
    <row r="264"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</row>
    <row r="265"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</row>
    <row r="266"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</row>
    <row r="267"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</row>
    <row r="268"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</row>
    <row r="269"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</row>
    <row r="270"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</row>
    <row r="271"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</row>
    <row r="272"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</row>
    <row r="273"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</row>
    <row r="274"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</row>
    <row r="275"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</row>
    <row r="276"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</row>
    <row r="277"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</row>
    <row r="278"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</row>
    <row r="279"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</row>
    <row r="280"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</row>
    <row r="281"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</row>
    <row r="282"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</row>
    <row r="283"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</row>
    <row r="284"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</row>
    <row r="285"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</row>
    <row r="286"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</row>
    <row r="287"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</row>
    <row r="288"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</row>
    <row r="289"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</row>
    <row r="290"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</row>
    <row r="291"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</row>
    <row r="292"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</row>
    <row r="293"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</row>
    <row r="294"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</row>
    <row r="295"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</row>
    <row r="296"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</row>
    <row r="297"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</row>
    <row r="298"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</row>
    <row r="299"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</row>
    <row r="300"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</row>
    <row r="301"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</row>
    <row r="302"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</row>
    <row r="303"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</row>
    <row r="304"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</row>
    <row r="305"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</row>
    <row r="306"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</row>
    <row r="307"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</row>
    <row r="308"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</row>
    <row r="309"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</row>
    <row r="310"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</row>
    <row r="311"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</row>
    <row r="312"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</row>
    <row r="313"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</row>
    <row r="314"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</row>
    <row r="315"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</row>
    <row r="316"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</row>
    <row r="317"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</row>
    <row r="318"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</row>
    <row r="319"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</row>
    <row r="320"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</row>
    <row r="321"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</row>
    <row r="322"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</row>
    <row r="323"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</row>
    <row r="324"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</row>
    <row r="325"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</row>
    <row r="326"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</row>
    <row r="327"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</row>
    <row r="328"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</row>
    <row r="329"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</row>
    <row r="330"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</row>
    <row r="331"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</row>
    <row r="332"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</row>
    <row r="333"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</row>
    <row r="334"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</row>
    <row r="335"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</row>
    <row r="336"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</row>
    <row r="337"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</row>
    <row r="338"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</row>
    <row r="339"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</row>
    <row r="340"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</row>
    <row r="341"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</row>
    <row r="342"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</row>
    <row r="343"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</row>
    <row r="344"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</row>
    <row r="345"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</row>
    <row r="346"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</row>
    <row r="347"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</row>
    <row r="348"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</row>
    <row r="349"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</row>
    <row r="350"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</row>
    <row r="351"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</row>
    <row r="352"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</row>
    <row r="353"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</row>
    <row r="354"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</row>
    <row r="355"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</row>
    <row r="356"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</row>
    <row r="357"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</row>
    <row r="358"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</row>
    <row r="359"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</row>
    <row r="360"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</row>
    <row r="361"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</row>
    <row r="362"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</row>
    <row r="363"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</row>
    <row r="364"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</row>
    <row r="365"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</row>
    <row r="366"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</row>
    <row r="367"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</row>
    <row r="368"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</row>
    <row r="369"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</row>
    <row r="370"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</row>
    <row r="371"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</row>
    <row r="372"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</row>
    <row r="373"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</row>
    <row r="374"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</row>
    <row r="375"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</row>
    <row r="376"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</row>
    <row r="377"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</row>
    <row r="378"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</row>
    <row r="379"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</row>
    <row r="380"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</row>
    <row r="381"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</row>
    <row r="382"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</row>
    <row r="383"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</row>
    <row r="384"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</row>
    <row r="385"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</row>
    <row r="386"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</row>
    <row r="387"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</row>
    <row r="388"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</row>
    <row r="389"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</row>
    <row r="390"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</row>
    <row r="391"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</row>
    <row r="392"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</row>
    <row r="393"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</row>
    <row r="394"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</row>
    <row r="395"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</row>
    <row r="396"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</row>
    <row r="397"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</row>
    <row r="398"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</row>
    <row r="399"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</row>
    <row r="400"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</row>
    <row r="401"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</row>
    <row r="402"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</row>
    <row r="403"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</row>
    <row r="404"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</row>
    <row r="405"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</row>
    <row r="406"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</row>
    <row r="407"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</row>
    <row r="408"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</row>
    <row r="409"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</row>
    <row r="410"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</row>
    <row r="411"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</row>
    <row r="412"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</row>
    <row r="413"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</row>
    <row r="414"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</row>
    <row r="415"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</row>
    <row r="416"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</row>
    <row r="417"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</row>
    <row r="418"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</row>
    <row r="419"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</row>
    <row r="420"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</row>
    <row r="421"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</row>
    <row r="422"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</row>
    <row r="423"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</row>
    <row r="424"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</row>
    <row r="425"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</row>
    <row r="426"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</row>
    <row r="427"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</row>
    <row r="428"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</row>
    <row r="429"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</row>
    <row r="430"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</row>
    <row r="431"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</row>
    <row r="432"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</row>
    <row r="433"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</row>
    <row r="434"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</row>
    <row r="435"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</row>
    <row r="436"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</row>
    <row r="437"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</row>
    <row r="438"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</row>
    <row r="439"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</row>
    <row r="440"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</row>
    <row r="441"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</row>
    <row r="442"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</row>
    <row r="443"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</row>
    <row r="444"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</row>
    <row r="445"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</row>
    <row r="446"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</row>
    <row r="447"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</row>
    <row r="448"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</row>
    <row r="449"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</row>
    <row r="450"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</row>
    <row r="451"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</row>
    <row r="452"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</row>
    <row r="453"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</row>
    <row r="454"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</row>
    <row r="455"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</row>
    <row r="456"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</row>
    <row r="457"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</row>
    <row r="458"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</row>
    <row r="459"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</row>
    <row r="460"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</row>
    <row r="461"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</row>
    <row r="462"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</row>
    <row r="463"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</row>
    <row r="464"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</row>
    <row r="465"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</row>
    <row r="466"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</row>
    <row r="467"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</row>
    <row r="468"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</row>
    <row r="469"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</row>
    <row r="470"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</row>
    <row r="471"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</row>
    <row r="472"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</row>
    <row r="473"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</row>
    <row r="474"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</row>
    <row r="475"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</row>
    <row r="476"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</row>
    <row r="477"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</row>
    <row r="478"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</row>
    <row r="479"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</row>
    <row r="480"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</row>
    <row r="481"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</row>
    <row r="482"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</row>
    <row r="483"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</row>
    <row r="484"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</row>
    <row r="485"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</row>
    <row r="486"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</row>
    <row r="487"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</row>
    <row r="488"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</row>
    <row r="489"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</row>
    <row r="490"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</row>
    <row r="491"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</row>
    <row r="492"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</row>
    <row r="493"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</row>
    <row r="494"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</row>
    <row r="495"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</row>
    <row r="496"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</row>
    <row r="497"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</row>
    <row r="498"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</row>
    <row r="499"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</row>
    <row r="500"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</row>
    <row r="501"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</row>
    <row r="502"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</row>
    <row r="503"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</row>
    <row r="504"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</row>
    <row r="505"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</row>
    <row r="506"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</row>
    <row r="507"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</row>
    <row r="508"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</row>
    <row r="509"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</row>
    <row r="510"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</row>
    <row r="511"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</row>
    <row r="512"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</row>
    <row r="513"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</row>
    <row r="514"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</row>
    <row r="515"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</row>
    <row r="516"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</row>
    <row r="517"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</row>
    <row r="518"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</row>
    <row r="519"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</row>
    <row r="520"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</row>
    <row r="521"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</row>
    <row r="522"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</row>
    <row r="523"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</row>
    <row r="524"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</row>
    <row r="525"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</row>
    <row r="526"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</row>
    <row r="527"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</row>
    <row r="528"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</row>
    <row r="529"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</row>
    <row r="530"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</row>
    <row r="531"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</row>
    <row r="532"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</row>
    <row r="533"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</row>
    <row r="534"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</row>
    <row r="535"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</row>
    <row r="536"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</row>
    <row r="537"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</row>
    <row r="538"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</row>
    <row r="539"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</row>
    <row r="540"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</row>
    <row r="541"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</row>
    <row r="542"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</row>
    <row r="543"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</row>
    <row r="544"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</row>
    <row r="545"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</row>
    <row r="546"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</row>
    <row r="547"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</row>
    <row r="548"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</row>
    <row r="549"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</row>
    <row r="550"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</row>
    <row r="551"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</row>
    <row r="552"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</row>
    <row r="553"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</row>
    <row r="554"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</row>
    <row r="555"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</row>
    <row r="556"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</row>
    <row r="557"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</row>
    <row r="558"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</row>
    <row r="559"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</row>
    <row r="560"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</row>
    <row r="561"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</row>
    <row r="562"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</row>
    <row r="563"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</row>
    <row r="564"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</row>
    <row r="565"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</row>
    <row r="566"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</row>
    <row r="567"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</row>
    <row r="568"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</row>
    <row r="569"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</row>
    <row r="570"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</row>
    <row r="571"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</row>
    <row r="572"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</row>
    <row r="573"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</row>
    <row r="574"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</row>
    <row r="575"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</row>
    <row r="576"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</row>
    <row r="577"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</row>
    <row r="578"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</row>
    <row r="579"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</row>
    <row r="580"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</row>
    <row r="581"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</row>
    <row r="582"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</row>
    <row r="583"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</row>
    <row r="584"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</row>
    <row r="585"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</row>
    <row r="586"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</row>
    <row r="587"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</row>
    <row r="588"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</row>
    <row r="589"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</row>
    <row r="590"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</row>
    <row r="591"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</row>
    <row r="592"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</row>
    <row r="593"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</row>
    <row r="594"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</row>
    <row r="595"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</row>
    <row r="596"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</row>
    <row r="597"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</row>
    <row r="598"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</row>
    <row r="599"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</row>
    <row r="600"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</row>
    <row r="601"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</row>
    <row r="602"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</row>
    <row r="603"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</row>
    <row r="604"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</row>
    <row r="605"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</row>
    <row r="606"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</row>
    <row r="607"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</row>
    <row r="608"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</row>
    <row r="609"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</row>
    <row r="610"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</row>
    <row r="611"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</row>
    <row r="612"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</row>
    <row r="613"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</row>
    <row r="614"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</row>
    <row r="615"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</row>
    <row r="616"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</row>
    <row r="617"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</row>
    <row r="618"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</row>
    <row r="619"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</row>
    <row r="620"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</row>
    <row r="621"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</row>
    <row r="622"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</row>
    <row r="623"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</row>
    <row r="624"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</row>
    <row r="625"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</row>
    <row r="626"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</row>
    <row r="627"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</row>
    <row r="628"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</row>
    <row r="629"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</row>
    <row r="630"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</row>
    <row r="631"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</row>
    <row r="632"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</row>
    <row r="633"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</row>
    <row r="634"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</row>
    <row r="635"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</row>
    <row r="636"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</row>
    <row r="637"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</row>
    <row r="638"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</row>
    <row r="639"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</row>
    <row r="640"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</row>
    <row r="641"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</row>
    <row r="642"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</row>
    <row r="643"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</row>
    <row r="644"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</row>
    <row r="645"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</row>
    <row r="646"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</row>
    <row r="647"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</row>
    <row r="648"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</row>
    <row r="649"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</row>
    <row r="650"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</row>
    <row r="651"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</row>
    <row r="652"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</row>
    <row r="653"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</row>
    <row r="654"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</row>
    <row r="655"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</row>
    <row r="656"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</row>
    <row r="657"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</row>
    <row r="658"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</row>
    <row r="659"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</row>
    <row r="660"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</row>
    <row r="661"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</row>
    <row r="662"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</row>
    <row r="663"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</row>
    <row r="664"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</row>
    <row r="665"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</row>
    <row r="666"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</row>
    <row r="667"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</row>
    <row r="668"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</row>
    <row r="669"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</row>
    <row r="670"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</row>
    <row r="671"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</row>
    <row r="672"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</row>
    <row r="673"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</row>
    <row r="674"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</row>
    <row r="675"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</row>
    <row r="676"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</row>
    <row r="677"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</row>
    <row r="678"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</row>
    <row r="679"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</row>
    <row r="680"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</row>
    <row r="681"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</row>
    <row r="682"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</row>
    <row r="683"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</row>
    <row r="684"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</row>
    <row r="685"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</row>
    <row r="686"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</row>
    <row r="687"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</row>
    <row r="688"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</row>
    <row r="689"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</row>
    <row r="690"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</row>
    <row r="691"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</row>
    <row r="692"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</row>
    <row r="693"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</row>
    <row r="694"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</row>
    <row r="695"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</row>
    <row r="696"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</row>
    <row r="697"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</row>
    <row r="698"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</row>
    <row r="699"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</row>
    <row r="700"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</row>
    <row r="701"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</row>
    <row r="702"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</row>
    <row r="703"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</row>
    <row r="704"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</row>
    <row r="705"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</row>
    <row r="706"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</row>
    <row r="707"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</row>
    <row r="708"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</row>
    <row r="709"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</row>
    <row r="710"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</row>
    <row r="711"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</row>
    <row r="712"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</row>
    <row r="713"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</row>
    <row r="714"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</row>
    <row r="715"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</row>
    <row r="716"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</row>
    <row r="717"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</row>
    <row r="718"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</row>
    <row r="719"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</row>
    <row r="720"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</row>
    <row r="721"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</row>
    <row r="722"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</row>
    <row r="723"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</row>
    <row r="724"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</row>
    <row r="725"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</row>
    <row r="726"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</row>
    <row r="727"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</row>
    <row r="728"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</row>
    <row r="729"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</row>
    <row r="730"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</row>
    <row r="731"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</row>
    <row r="732"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</row>
    <row r="733"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</row>
    <row r="734"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</row>
    <row r="735"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</row>
    <row r="736"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</row>
    <row r="737"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</row>
    <row r="738"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</row>
    <row r="739"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</row>
    <row r="740"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</row>
    <row r="741"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</row>
    <row r="742"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</row>
    <row r="743"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</row>
    <row r="744"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</row>
    <row r="745"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</row>
    <row r="746"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</row>
    <row r="747"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</row>
    <row r="748"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</row>
    <row r="749"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</row>
    <row r="750"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</row>
    <row r="751"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</row>
    <row r="752"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</row>
    <row r="753"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</row>
    <row r="754"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</row>
    <row r="755"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</row>
    <row r="756"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</row>
    <row r="757"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</row>
    <row r="758"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</row>
    <row r="759"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</row>
    <row r="760"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</row>
    <row r="761"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</row>
    <row r="762"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</row>
    <row r="763"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</row>
    <row r="764"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</row>
    <row r="765"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</row>
    <row r="766"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</row>
    <row r="767"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</row>
    <row r="768"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</row>
    <row r="769"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</row>
    <row r="770"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</row>
    <row r="771"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</row>
    <row r="772"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</row>
    <row r="773"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</row>
    <row r="774"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</row>
    <row r="775"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</row>
    <row r="776"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</row>
    <row r="777"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</row>
    <row r="778"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</row>
    <row r="779"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</row>
    <row r="780"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</row>
    <row r="781"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</row>
    <row r="782"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</row>
    <row r="783"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</row>
    <row r="784"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</row>
    <row r="785"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</row>
    <row r="786"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</row>
    <row r="787"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</row>
    <row r="788"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</row>
    <row r="789"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</row>
    <row r="790"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</row>
    <row r="791"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</row>
    <row r="792"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</row>
    <row r="793"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</row>
    <row r="794"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</row>
    <row r="795"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</row>
    <row r="796"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</row>
    <row r="797"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</row>
    <row r="798"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</row>
    <row r="799"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</row>
    <row r="800"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</row>
    <row r="801"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</row>
    <row r="802"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</row>
    <row r="803"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</row>
    <row r="804"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</row>
    <row r="805"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</row>
    <row r="806"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</row>
    <row r="807"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</row>
    <row r="808"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</row>
    <row r="809"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</row>
    <row r="810"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</row>
    <row r="811"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</row>
    <row r="812"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</row>
    <row r="813"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</row>
    <row r="814"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</row>
    <row r="815"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</row>
    <row r="816"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</row>
    <row r="817"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</row>
    <row r="818"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</row>
    <row r="819"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</row>
    <row r="820"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</row>
    <row r="821"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</row>
    <row r="822"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</row>
    <row r="823"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</row>
    <row r="824"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</row>
    <row r="825"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</row>
    <row r="826"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</row>
    <row r="827"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</row>
    <row r="828"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</row>
    <row r="829"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</row>
    <row r="830"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</row>
    <row r="831"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</row>
    <row r="832"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</row>
    <row r="833"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</row>
    <row r="834"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</row>
    <row r="835"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</row>
    <row r="836"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</row>
    <row r="837"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</row>
    <row r="838"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</row>
    <row r="839"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</row>
    <row r="840"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</row>
    <row r="841"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</row>
    <row r="842"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</row>
    <row r="843"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</row>
    <row r="844"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</row>
    <row r="845"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</row>
    <row r="846"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</row>
    <row r="847"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</row>
    <row r="848"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</row>
    <row r="849"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</row>
    <row r="850"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</row>
    <row r="851"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</row>
    <row r="852"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</row>
    <row r="853"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</row>
    <row r="854"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</row>
    <row r="855"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</row>
    <row r="856"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</row>
    <row r="857"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</row>
    <row r="858"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</row>
    <row r="859"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</row>
    <row r="860"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</row>
    <row r="861"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</row>
    <row r="862"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</row>
    <row r="863"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</row>
    <row r="864"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</row>
    <row r="865"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</row>
    <row r="866"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</row>
    <row r="867"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</row>
    <row r="868"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</row>
    <row r="869"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</row>
    <row r="870"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</row>
    <row r="871"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</row>
    <row r="872"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</row>
    <row r="873"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</row>
    <row r="874"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</row>
    <row r="875"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</row>
    <row r="876"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</row>
    <row r="877"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</row>
    <row r="878"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</row>
    <row r="879"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</row>
    <row r="880"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</row>
    <row r="881"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</row>
    <row r="882"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</row>
    <row r="883"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</row>
    <row r="884"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</row>
    <row r="885"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</row>
    <row r="886"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</row>
    <row r="887"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</row>
    <row r="888"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</row>
    <row r="889"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</row>
    <row r="890"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</row>
    <row r="891"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</row>
    <row r="892"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</row>
    <row r="893"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</row>
    <row r="894"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</row>
    <row r="895"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</row>
    <row r="896"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</row>
    <row r="897"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</row>
    <row r="898"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</row>
    <row r="899"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</row>
    <row r="900"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</row>
    <row r="901"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</row>
    <row r="902"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</row>
    <row r="903"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</row>
    <row r="904"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</row>
    <row r="905"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</row>
    <row r="906"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</row>
    <row r="907"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</row>
    <row r="908"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</row>
    <row r="909"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</row>
    <row r="910"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</row>
    <row r="911"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</row>
    <row r="912"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</row>
    <row r="913"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</row>
    <row r="914"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</row>
    <row r="915"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</row>
    <row r="916"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</row>
    <row r="917"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</row>
    <row r="918"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</row>
    <row r="919"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</row>
    <row r="920"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</row>
    <row r="921"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</row>
    <row r="922"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</row>
    <row r="923"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</row>
    <row r="924"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</row>
    <row r="925"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</row>
    <row r="926"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</row>
    <row r="927"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</row>
    <row r="928"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</row>
    <row r="929"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</row>
    <row r="930"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</row>
    <row r="931"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</row>
    <row r="932"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</row>
    <row r="933"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</row>
    <row r="934"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</row>
    <row r="935"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</row>
    <row r="936"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</row>
    <row r="937"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</row>
    <row r="938"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</row>
    <row r="939"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</row>
    <row r="940"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</row>
    <row r="941"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</row>
    <row r="942"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</row>
    <row r="943"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</row>
    <row r="944"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</row>
    <row r="945"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</row>
    <row r="946"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</row>
    <row r="947"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</row>
    <row r="948"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</row>
    <row r="949"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</row>
    <row r="950"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</row>
    <row r="951"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</row>
    <row r="952"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</row>
    <row r="953"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</row>
    <row r="954"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</row>
    <row r="955"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</row>
    <row r="956"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</row>
    <row r="957"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</row>
    <row r="958"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</row>
    <row r="959"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</row>
    <row r="960"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</row>
    <row r="961"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</row>
    <row r="962"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</row>
    <row r="963"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</row>
    <row r="964"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</row>
    <row r="965"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</row>
    <row r="966"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</row>
    <row r="967"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</row>
    <row r="968"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</row>
    <row r="969"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</row>
    <row r="970"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</row>
    <row r="971"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</row>
    <row r="972"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</row>
    <row r="973"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</row>
    <row r="974"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</row>
    <row r="975"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</row>
    <row r="976"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</row>
    <row r="977"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</row>
    <row r="978"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</row>
    <row r="979"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</row>
    <row r="980"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</row>
    <row r="981"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</row>
    <row r="982"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</row>
    <row r="983"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</row>
    <row r="984"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</row>
    <row r="985"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</row>
    <row r="986"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</row>
    <row r="987"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</row>
    <row r="988"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</row>
    <row r="989"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</row>
    <row r="990"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</row>
    <row r="991"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</row>
    <row r="992"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</row>
    <row r="993"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</row>
    <row r="994"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</row>
    <row r="995"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</row>
    <row r="996"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</row>
    <row r="997"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</row>
    <row r="998"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</row>
    <row r="999"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</row>
    <row r="1000"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</row>
    <row r="1001"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</row>
    <row r="1002"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</row>
    <row r="1003"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</row>
    <row r="1004"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</row>
    <row r="1005"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</row>
    <row r="1006"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</row>
    <row r="1007"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</row>
    <row r="1008"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</row>
  </sheetData>
  <mergeCells count="2">
    <mergeCell ref="A3:A26"/>
    <mergeCell ref="A31:A54"/>
  </mergeCells>
  <conditionalFormatting sqref="D4:AH27 D60:AH83">
    <cfRule type="colorScale" priority="1">
      <colorScale>
        <cfvo type="min"/>
        <cfvo type="percent" val="50"/>
        <cfvo type="max"/>
        <color rgb="FFFFFFFF"/>
        <color rgb="FFFFD666"/>
        <color rgb="FFE67C73"/>
      </colorScale>
    </cfRule>
  </conditionalFormatting>
  <conditionalFormatting sqref="D4:AH27">
    <cfRule type="cellIs" dxfId="9" priority="2" operator="equal">
      <formula>0</formula>
    </cfRule>
  </conditionalFormatting>
  <conditionalFormatting sqref="D216:AH239 AM216:AN216 AJ217:AJ229 AM218:AN218 AM221:AN223 AM225:AN225 AM227:AN227 AJ232:AJ239 AM233:AN233 AM236:AN236 D243:AH245 AJ243:AJ245">
    <cfRule type="cellIs" dxfId="9" priority="3" operator="equal">
      <formula>0</formula>
    </cfRule>
  </conditionalFormatting>
  <conditionalFormatting sqref="D216:AH239 AM216:AN216 AJ217:AJ229 AM218:AN218 AM221:AN223 AM225:AN225 AM227:AN227 AJ232:AJ239 AM233:AN233 AM236:AN236 D243:AH245 AJ243:AJ245">
    <cfRule type="colorScale" priority="4">
      <colorScale>
        <cfvo type="min"/>
        <cfvo type="formula" val="0"/>
        <cfvo type="max"/>
        <color rgb="FFFF0000"/>
        <color rgb="FFCFE2F3"/>
        <color rgb="FF57BB8A"/>
      </colorScale>
    </cfRule>
  </conditionalFormatting>
  <drawing r:id="rId1"/>
</worksheet>
</file>